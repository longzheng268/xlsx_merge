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ode_Project\Python\xlsx_merge\data\raw_xlsx\"/>
    </mc:Choice>
  </mc:AlternateContent>
  <xr:revisionPtr revIDLastSave="0" documentId="13_ncr:1_{4B8B96E9-A8EB-4034-B817-D5250EF8F61C}" xr6:coauthVersionLast="47" xr6:coauthVersionMax="47" xr10:uidLastSave="{00000000-0000-0000-0000-000000000000}"/>
  <bookViews>
    <workbookView xWindow="-93" yWindow="-93" windowWidth="23226" windowHeight="13986" tabRatio="672" xr2:uid="{00000000-000D-0000-FFFF-FFFF00000000}"/>
  </bookViews>
  <sheets>
    <sheet name="君瑞-考勤表（非安防部门）" sheetId="24" r:id="rId1"/>
  </sheets>
  <externalReferences>
    <externalReference r:id="rId2"/>
    <externalReference r:id="rId3"/>
    <externalReference r:id="rId4"/>
    <externalReference r:id="rId5"/>
  </externalReferences>
  <definedNames>
    <definedName name="Category">[1]Reference!$F$18:$F$24</definedName>
    <definedName name="Comparison">[1]Reference!$E$19:$E$22</definedName>
    <definedName name="Country">[2]Ref!$B$7:$B$24</definedName>
    <definedName name="Currency">[3]MapParm!$B$2:$B$28</definedName>
    <definedName name="Frequency">[1]Reference!$E$28:$E$30</definedName>
    <definedName name="ISA社保公积金">#REF!</definedName>
    <definedName name="month">[1]Reference!$D$3:$D$14</definedName>
    <definedName name="MthID">[3]MapParm!$G$2:$G$14</definedName>
    <definedName name="NoteYes">[3]MapParm!$E$2:$E$3</definedName>
    <definedName name="NvsAnswerCol">"'[CN006_Monthly PL w Nodes LGAAP_LC_AA_2009-08-31.xls]FMSGLRP_CUR'!$A$4:$A$663"</definedName>
    <definedName name="NvsASD">"V2009-08-31"</definedName>
    <definedName name="NvsAutoDrillOk">"VN"</definedName>
    <definedName name="NvsElapsedTime">0.000555555554456078</definedName>
    <definedName name="NvsEndTime">40059.0979513889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"%,X,RZF..R00B,CZF..C00B"</definedName>
    <definedName name="NvsPanelBusUnit">"VSG001"</definedName>
    <definedName name="NvsPanelEffdt">"V2006-01-01"</definedName>
    <definedName name="NvsPanelSetid">"VGLOBL"</definedName>
    <definedName name="NvsReqBU">"VCN006"</definedName>
    <definedName name="NvsReqBUOnly">"VY"</definedName>
    <definedName name="NvsStyleNme">"LPGLHK21-Style.xls"</definedName>
    <definedName name="NvsTransLed">"VN"</definedName>
    <definedName name="NvsTreeASD">"V2009-08-31"</definedName>
    <definedName name="NvsValTbl.ACCOUNT">"GL_ACCOUNT_TBL"</definedName>
    <definedName name="NvsValTbl.ACTIVITY_TYPE">"PROJ_ANTYPE_TBL"</definedName>
    <definedName name="NvsValTbl.ANALYSIS_TYPE">"PROJ_ANTYPE_TBL"</definedName>
    <definedName name="NvsValTbl.DEPTID">"DEPT_TBL"</definedName>
    <definedName name="_xlnm.Print_Area" localSheetId="0">'君瑞-考勤表（非安防部门）'!$A$1:$BE$52</definedName>
    <definedName name="报表">#REF!</definedName>
  </definedNames>
  <calcPr calcId="191029" concurrentCalc="0"/>
</workbook>
</file>

<file path=xl/calcChain.xml><?xml version="1.0" encoding="utf-8"?>
<calcChain xmlns="http://schemas.openxmlformats.org/spreadsheetml/2006/main">
  <c r="BK35" i="24" l="1"/>
  <c r="BJ35" i="24"/>
  <c r="BI35" i="24"/>
  <c r="BH35" i="24"/>
  <c r="BG35" i="24"/>
  <c r="BF35" i="24"/>
  <c r="AO35" i="24"/>
  <c r="AN35" i="24"/>
  <c r="BK34" i="24"/>
  <c r="BJ34" i="24"/>
  <c r="BI34" i="24"/>
  <c r="BH34" i="24"/>
  <c r="BG34" i="24"/>
  <c r="BF34" i="24"/>
  <c r="AP34" i="24"/>
  <c r="AO34" i="24"/>
  <c r="AN34" i="24"/>
  <c r="BK33" i="24"/>
  <c r="BJ33" i="24"/>
  <c r="BI33" i="24"/>
  <c r="BH33" i="24"/>
  <c r="BG33" i="24"/>
  <c r="BF33" i="24"/>
  <c r="BC33" i="24"/>
  <c r="BB33" i="24"/>
  <c r="AZ33" i="24"/>
  <c r="AV33" i="24"/>
  <c r="AU33" i="24"/>
  <c r="AT33" i="24"/>
  <c r="AS33" i="24"/>
  <c r="AR33" i="24"/>
  <c r="AP33" i="24"/>
  <c r="AO33" i="24"/>
  <c r="AN33" i="24"/>
  <c r="BK32" i="24"/>
  <c r="BJ32" i="24"/>
  <c r="BI32" i="24"/>
  <c r="BH32" i="24"/>
  <c r="BG32" i="24"/>
  <c r="BF32" i="24"/>
  <c r="BC32" i="24"/>
  <c r="BB32" i="24"/>
  <c r="AZ32" i="24"/>
  <c r="AV32" i="24"/>
  <c r="AU32" i="24"/>
  <c r="AT32" i="24"/>
  <c r="AS32" i="24"/>
  <c r="AR32" i="24"/>
  <c r="AP32" i="24"/>
  <c r="AO32" i="24"/>
  <c r="AN32" i="24"/>
  <c r="BK31" i="24"/>
  <c r="BJ31" i="24"/>
  <c r="BI31" i="24"/>
  <c r="BH31" i="24"/>
  <c r="BG31" i="24"/>
  <c r="BF31" i="24"/>
  <c r="BC31" i="24"/>
  <c r="BB31" i="24"/>
  <c r="AZ31" i="24"/>
  <c r="AV31" i="24"/>
  <c r="AU31" i="24"/>
  <c r="AT31" i="24"/>
  <c r="AS31" i="24"/>
  <c r="AR31" i="24"/>
  <c r="AP31" i="24"/>
  <c r="AO31" i="24"/>
  <c r="AN31" i="24"/>
  <c r="BK30" i="24"/>
  <c r="BJ30" i="24"/>
  <c r="BI30" i="24"/>
  <c r="BH30" i="24"/>
  <c r="BG30" i="24"/>
  <c r="BF30" i="24"/>
  <c r="BC30" i="24"/>
  <c r="BB30" i="24"/>
  <c r="AZ30" i="24"/>
  <c r="AV30" i="24"/>
  <c r="AU30" i="24"/>
  <c r="AT30" i="24"/>
  <c r="AS30" i="24"/>
  <c r="AR30" i="24"/>
  <c r="AP30" i="24"/>
  <c r="AO30" i="24"/>
  <c r="AN30" i="24"/>
  <c r="BK29" i="24"/>
  <c r="BJ29" i="24"/>
  <c r="BI29" i="24"/>
  <c r="BH29" i="24"/>
  <c r="BG29" i="24"/>
  <c r="BF29" i="24"/>
  <c r="BC29" i="24"/>
  <c r="BB29" i="24"/>
  <c r="AZ29" i="24"/>
  <c r="AV29" i="24"/>
  <c r="AU29" i="24"/>
  <c r="AT29" i="24"/>
  <c r="AS29" i="24"/>
  <c r="AR29" i="24"/>
  <c r="AP29" i="24"/>
  <c r="AO29" i="24"/>
  <c r="AN29" i="24"/>
  <c r="BC28" i="24"/>
  <c r="BB28" i="24"/>
  <c r="AZ28" i="24"/>
  <c r="AV28" i="24"/>
  <c r="AU28" i="24"/>
  <c r="AT28" i="24"/>
  <c r="AS28" i="24"/>
  <c r="AR28" i="24"/>
  <c r="AP28" i="24"/>
  <c r="AO28" i="24"/>
  <c r="AN28" i="24"/>
  <c r="BC27" i="24"/>
  <c r="BB27" i="24"/>
  <c r="AZ27" i="24"/>
  <c r="AV27" i="24"/>
  <c r="AU27" i="24"/>
  <c r="AT27" i="24"/>
  <c r="AS27" i="24"/>
  <c r="AR27" i="24"/>
  <c r="AP27" i="24"/>
  <c r="AO27" i="24"/>
  <c r="AN27" i="24"/>
  <c r="BC26" i="24"/>
  <c r="BB26" i="24"/>
  <c r="AZ26" i="24"/>
  <c r="AV26" i="24"/>
  <c r="AU26" i="24"/>
  <c r="AT26" i="24"/>
  <c r="AS26" i="24"/>
  <c r="AR26" i="24"/>
  <c r="AP26" i="24"/>
  <c r="AO26" i="24"/>
  <c r="AN26" i="24"/>
  <c r="BC25" i="24"/>
  <c r="BB25" i="24"/>
  <c r="AZ25" i="24"/>
  <c r="AV25" i="24"/>
  <c r="AU25" i="24"/>
  <c r="AT25" i="24"/>
  <c r="AS25" i="24"/>
  <c r="AR25" i="24"/>
  <c r="AP25" i="24"/>
  <c r="AO25" i="24"/>
  <c r="AN25" i="24"/>
  <c r="BC24" i="24"/>
  <c r="BB24" i="24"/>
  <c r="AZ24" i="24"/>
  <c r="AV24" i="24"/>
  <c r="AU24" i="24"/>
  <c r="AT24" i="24"/>
  <c r="AS24" i="24"/>
  <c r="AR24" i="24"/>
  <c r="AP24" i="24"/>
  <c r="AO24" i="24"/>
  <c r="AN24" i="24"/>
  <c r="BC23" i="24"/>
  <c r="BB23" i="24"/>
  <c r="AZ23" i="24"/>
  <c r="AV23" i="24"/>
  <c r="AU23" i="24"/>
  <c r="AT23" i="24"/>
  <c r="AS23" i="24"/>
  <c r="AR23" i="24"/>
  <c r="AP23" i="24"/>
  <c r="AO23" i="24"/>
  <c r="AN23" i="24"/>
  <c r="BC22" i="24"/>
  <c r="BB22" i="24"/>
  <c r="AZ22" i="24"/>
  <c r="AV22" i="24"/>
  <c r="AU22" i="24"/>
  <c r="AT22" i="24"/>
  <c r="AS22" i="24"/>
  <c r="AR22" i="24"/>
  <c r="AP22" i="24"/>
  <c r="AO22" i="24"/>
  <c r="AN22" i="24"/>
  <c r="BC21" i="24"/>
  <c r="BB21" i="24"/>
  <c r="AZ21" i="24"/>
  <c r="AV21" i="24"/>
  <c r="AU21" i="24"/>
  <c r="AT21" i="24"/>
  <c r="AS21" i="24"/>
  <c r="AR21" i="24"/>
  <c r="AP21" i="24"/>
  <c r="AO21" i="24"/>
  <c r="AN21" i="24"/>
  <c r="BC20" i="24"/>
  <c r="BB20" i="24"/>
  <c r="AZ20" i="24"/>
  <c r="AV20" i="24"/>
  <c r="AU20" i="24"/>
  <c r="AT20" i="24"/>
  <c r="AS20" i="24"/>
  <c r="AR20" i="24"/>
  <c r="AP20" i="24"/>
  <c r="AO20" i="24"/>
  <c r="AN20" i="24"/>
  <c r="BC19" i="24"/>
  <c r="BB19" i="24"/>
  <c r="AZ19" i="24"/>
  <c r="AV19" i="24"/>
  <c r="AU19" i="24"/>
  <c r="AT19" i="24"/>
  <c r="AS19" i="24"/>
  <c r="AR19" i="24"/>
  <c r="AP19" i="24"/>
  <c r="AO19" i="24"/>
  <c r="AN19" i="24"/>
  <c r="BK18" i="24"/>
  <c r="BJ18" i="24"/>
  <c r="BI18" i="24"/>
  <c r="BH18" i="24"/>
  <c r="BG18" i="24"/>
  <c r="BF18" i="24"/>
  <c r="BC18" i="24"/>
  <c r="BB18" i="24"/>
  <c r="AZ18" i="24"/>
  <c r="AV18" i="24"/>
  <c r="AU18" i="24"/>
  <c r="AT18" i="24"/>
  <c r="AS18" i="24"/>
  <c r="AR18" i="24"/>
  <c r="AP18" i="24"/>
  <c r="AO18" i="24"/>
  <c r="AN18" i="24"/>
  <c r="BK17" i="24"/>
  <c r="BJ17" i="24"/>
  <c r="BI17" i="24"/>
  <c r="BH17" i="24"/>
  <c r="BG17" i="24"/>
  <c r="BF17" i="24"/>
  <c r="BC17" i="24"/>
  <c r="BB17" i="24"/>
  <c r="AZ17" i="24"/>
  <c r="AV17" i="24"/>
  <c r="AU17" i="24"/>
  <c r="AT17" i="24"/>
  <c r="AS17" i="24"/>
  <c r="AR17" i="24"/>
  <c r="AP17" i="24"/>
  <c r="AO17" i="24"/>
  <c r="AN17" i="24"/>
  <c r="BK16" i="24"/>
  <c r="BJ16" i="24"/>
  <c r="BI16" i="24"/>
  <c r="BH16" i="24"/>
  <c r="BG16" i="24"/>
  <c r="BF16" i="24"/>
  <c r="BC16" i="24"/>
  <c r="BB16" i="24"/>
  <c r="AZ16" i="24"/>
  <c r="AV16" i="24"/>
  <c r="AU16" i="24"/>
  <c r="AT16" i="24"/>
  <c r="AS16" i="24"/>
  <c r="AR16" i="24"/>
  <c r="AP16" i="24"/>
  <c r="AO16" i="24"/>
  <c r="AN16" i="24"/>
  <c r="BK15" i="24"/>
  <c r="BJ15" i="24"/>
  <c r="BI15" i="24"/>
  <c r="BH15" i="24"/>
  <c r="BG15" i="24"/>
  <c r="BF15" i="24"/>
  <c r="BC15" i="24"/>
  <c r="BB15" i="24"/>
  <c r="AZ15" i="24"/>
  <c r="AV15" i="24"/>
  <c r="AU15" i="24"/>
  <c r="AT15" i="24"/>
  <c r="AS15" i="24"/>
  <c r="AR15" i="24"/>
  <c r="AP15" i="24"/>
  <c r="AO15" i="24"/>
  <c r="AN15" i="24"/>
  <c r="BK14" i="24"/>
  <c r="BJ14" i="24"/>
  <c r="BI14" i="24"/>
  <c r="BH14" i="24"/>
  <c r="BG14" i="24"/>
  <c r="BF14" i="24"/>
  <c r="BC14" i="24"/>
  <c r="BB14" i="24"/>
  <c r="AZ14" i="24"/>
  <c r="AV14" i="24"/>
  <c r="AU14" i="24"/>
  <c r="AT14" i="24"/>
  <c r="AS14" i="24"/>
  <c r="AR14" i="24"/>
  <c r="AP14" i="24"/>
  <c r="AO14" i="24"/>
  <c r="AN14" i="24"/>
  <c r="BK13" i="24"/>
  <c r="BJ13" i="24"/>
  <c r="BI13" i="24"/>
  <c r="BH13" i="24"/>
  <c r="BG13" i="24"/>
  <c r="BF13" i="24"/>
  <c r="BC13" i="24"/>
  <c r="BB13" i="24"/>
  <c r="AZ13" i="24"/>
  <c r="AV13" i="24"/>
  <c r="AU13" i="24"/>
  <c r="AT13" i="24"/>
  <c r="AS13" i="24"/>
  <c r="AR13" i="24"/>
  <c r="AP13" i="24"/>
  <c r="AO13" i="24"/>
  <c r="AN13" i="24"/>
  <c r="BK12" i="24"/>
  <c r="BJ12" i="24"/>
  <c r="BI12" i="24"/>
  <c r="BH12" i="24"/>
  <c r="BG12" i="24"/>
  <c r="BF12" i="24"/>
  <c r="BC12" i="24"/>
  <c r="BB12" i="24"/>
  <c r="AZ12" i="24"/>
  <c r="AV12" i="24"/>
  <c r="AU12" i="24"/>
  <c r="AT12" i="24"/>
  <c r="AS12" i="24"/>
  <c r="AR12" i="24"/>
  <c r="AP12" i="24"/>
  <c r="AO12" i="24"/>
  <c r="AN12" i="24"/>
  <c r="BK11" i="24"/>
  <c r="BJ11" i="24"/>
  <c r="BI11" i="24"/>
  <c r="BH11" i="24"/>
  <c r="BG11" i="24"/>
  <c r="BF11" i="24"/>
  <c r="BC11" i="24"/>
  <c r="BB11" i="24"/>
  <c r="AZ11" i="24"/>
  <c r="AV11" i="24"/>
  <c r="AU11" i="24"/>
  <c r="AT11" i="24"/>
  <c r="AS11" i="24"/>
  <c r="AR11" i="24"/>
  <c r="AP11" i="24"/>
  <c r="AO11" i="24"/>
  <c r="AN11" i="24"/>
  <c r="BK10" i="24"/>
  <c r="BJ10" i="24"/>
  <c r="BI10" i="24"/>
  <c r="BH10" i="24"/>
  <c r="BG10" i="24"/>
  <c r="BF10" i="24"/>
  <c r="BC10" i="24"/>
  <c r="BB10" i="24"/>
  <c r="AZ10" i="24"/>
  <c r="AV10" i="24"/>
  <c r="AU10" i="24"/>
  <c r="AT10" i="24"/>
  <c r="AS10" i="24"/>
  <c r="AR10" i="24"/>
  <c r="AP10" i="24"/>
  <c r="AO10" i="24"/>
  <c r="AN10" i="24"/>
  <c r="BK9" i="24"/>
  <c r="BJ9" i="24"/>
  <c r="BI9" i="24"/>
  <c r="BH9" i="24"/>
  <c r="BG9" i="24"/>
  <c r="BF9" i="24"/>
  <c r="BC9" i="24"/>
  <c r="BB9" i="24"/>
  <c r="AZ9" i="24"/>
  <c r="AV9" i="24"/>
  <c r="AU9" i="24"/>
  <c r="AT9" i="24"/>
  <c r="AS9" i="24"/>
  <c r="AR9" i="24"/>
  <c r="AP9" i="24"/>
  <c r="AO9" i="24"/>
  <c r="AN9" i="24"/>
  <c r="BK8" i="24"/>
  <c r="BJ8" i="24"/>
  <c r="BI8" i="24"/>
  <c r="BH8" i="24"/>
  <c r="BG8" i="24"/>
  <c r="BF8" i="24"/>
  <c r="BC8" i="24"/>
  <c r="BB8" i="24"/>
  <c r="AZ8" i="24"/>
  <c r="AV8" i="24"/>
  <c r="AU8" i="24"/>
  <c r="AT8" i="24"/>
  <c r="AS8" i="24"/>
  <c r="AR8" i="24"/>
  <c r="AP8" i="24"/>
  <c r="AO8" i="24"/>
  <c r="AN8" i="24"/>
  <c r="BK7" i="24"/>
  <c r="BJ7" i="24"/>
  <c r="BI7" i="24"/>
  <c r="BH7" i="24"/>
  <c r="BG7" i="24"/>
  <c r="BF7" i="24"/>
  <c r="BC7" i="24"/>
  <c r="BB7" i="24"/>
  <c r="AZ7" i="24"/>
  <c r="AV7" i="24"/>
  <c r="AU7" i="24"/>
  <c r="AT7" i="24"/>
  <c r="AS7" i="24"/>
  <c r="AR7" i="24"/>
  <c r="AP7" i="24"/>
  <c r="AO7" i="24"/>
  <c r="AN7" i="24"/>
  <c r="AL6" i="24"/>
  <c r="AK6" i="24"/>
  <c r="AJ6" i="24"/>
  <c r="AI6" i="24"/>
  <c r="AH6" i="24"/>
  <c r="AG6" i="24"/>
  <c r="AF6" i="24"/>
  <c r="AE6" i="24"/>
  <c r="AD6" i="24"/>
  <c r="AC6" i="24"/>
  <c r="AB6" i="24"/>
  <c r="AA6" i="24"/>
  <c r="Z6" i="24"/>
  <c r="Y6" i="24"/>
  <c r="X6" i="24"/>
  <c r="W6" i="24"/>
  <c r="V6" i="24"/>
  <c r="U6" i="24"/>
  <c r="T6" i="24"/>
  <c r="S6" i="24"/>
  <c r="R6" i="24"/>
  <c r="Q6" i="24"/>
  <c r="P6" i="24"/>
  <c r="O6" i="24"/>
  <c r="N6" i="24"/>
  <c r="M6" i="24"/>
  <c r="L6" i="24"/>
  <c r="K6" i="24"/>
  <c r="J6" i="24"/>
  <c r="I6" i="24"/>
  <c r="H6" i="24"/>
  <c r="W1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  <author>PC-04</author>
  </authors>
  <commentList>
    <comment ref="AR6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指涉及病假扣款的LSL</t>
        </r>
      </text>
    </comment>
    <comment ref="Z15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PC-04:</t>
        </r>
        <r>
          <rPr>
            <sz val="9"/>
            <rFont val="宋体"/>
            <family val="3"/>
            <charset val="134"/>
          </rPr>
          <t xml:space="preserve">
加班7小时</t>
        </r>
      </text>
    </comment>
  </commentList>
</comments>
</file>

<file path=xl/sharedStrings.xml><?xml version="1.0" encoding="utf-8"?>
<sst xmlns="http://schemas.openxmlformats.org/spreadsheetml/2006/main" count="874" uniqueCount="127">
  <si>
    <t xml:space="preserve"> </t>
  </si>
  <si>
    <r>
      <rPr>
        <b/>
        <sz val="18"/>
        <rFont val="宋体"/>
        <family val="3"/>
        <charset val="134"/>
      </rPr>
      <t>月员工考勤表</t>
    </r>
  </si>
  <si>
    <t>项目：</t>
  </si>
  <si>
    <t>皓玥湾物业服务中心</t>
  </si>
  <si>
    <r>
      <rPr>
        <sz val="10"/>
        <rFont val="宋体"/>
        <family val="3"/>
        <charset val="134"/>
      </rPr>
      <t>序号</t>
    </r>
  </si>
  <si>
    <t>员工
编号</t>
  </si>
  <si>
    <t>姓名</t>
  </si>
  <si>
    <r>
      <rPr>
        <sz val="10"/>
        <rFont val="宋体"/>
        <family val="3"/>
        <charset val="134"/>
      </rPr>
      <t>部门</t>
    </r>
  </si>
  <si>
    <t>分部门</t>
  </si>
  <si>
    <r>
      <rPr>
        <sz val="10"/>
        <rFont val="宋体"/>
        <family val="3"/>
        <charset val="134"/>
      </rPr>
      <t>职位</t>
    </r>
  </si>
  <si>
    <r>
      <rPr>
        <sz val="10"/>
        <rFont val="宋体"/>
        <family val="3"/>
        <charset val="134"/>
      </rPr>
      <t xml:space="preserve">日期
</t>
    </r>
    <r>
      <rPr>
        <sz val="10"/>
        <rFont val="Arial Narrow"/>
        <family val="2"/>
      </rPr>
      <t xml:space="preserve">&amp;
</t>
    </r>
    <r>
      <rPr>
        <sz val="10"/>
        <rFont val="宋体"/>
        <family val="3"/>
        <charset val="134"/>
      </rPr>
      <t>星期</t>
    </r>
  </si>
  <si>
    <t>当月应出勤</t>
  </si>
  <si>
    <t>当月实出勤</t>
  </si>
  <si>
    <t>高温补贴天数</t>
  </si>
  <si>
    <t>餐补天数</t>
  </si>
  <si>
    <t>餐补天数矫正</t>
  </si>
  <si>
    <t>本月缺勤天数</t>
  </si>
  <si>
    <r>
      <rPr>
        <sz val="10"/>
        <rFont val="宋体"/>
        <family val="3"/>
        <charset val="134"/>
      </rPr>
      <t>补休
以小时为单位</t>
    </r>
  </si>
  <si>
    <r>
      <rPr>
        <sz val="10"/>
        <rFont val="宋体"/>
        <family val="3"/>
        <charset val="134"/>
      </rPr>
      <t>加班
（支付加班费）
以小时为单位</t>
    </r>
  </si>
  <si>
    <t>绩效等级</t>
  </si>
  <si>
    <r>
      <rPr>
        <b/>
        <sz val="10"/>
        <rFont val="宋体"/>
        <family val="3"/>
        <charset val="134"/>
      </rPr>
      <t>员工签名</t>
    </r>
  </si>
  <si>
    <t>此处四列均用于核
对考勤，切勿打印</t>
  </si>
  <si>
    <r>
      <rPr>
        <sz val="10"/>
        <rFont val="宋体"/>
        <family val="3"/>
        <charset val="134"/>
      </rPr>
      <t>工作
状态</t>
    </r>
  </si>
  <si>
    <t>已休病假</t>
  </si>
  <si>
    <r>
      <rPr>
        <sz val="8"/>
        <rFont val="宋体"/>
        <family val="3"/>
        <charset val="134"/>
      </rPr>
      <t>已休事假</t>
    </r>
  </si>
  <si>
    <t>特批无薪假</t>
  </si>
  <si>
    <r>
      <rPr>
        <sz val="8"/>
        <rFont val="宋体"/>
        <family val="3"/>
        <charset val="134"/>
      </rPr>
      <t>旷工</t>
    </r>
  </si>
  <si>
    <r>
      <rPr>
        <sz val="8"/>
        <rFont val="宋体"/>
        <family val="3"/>
        <charset val="134"/>
      </rPr>
      <t>工伤</t>
    </r>
  </si>
  <si>
    <r>
      <rPr>
        <sz val="8"/>
        <rFont val="宋体"/>
        <family val="3"/>
        <charset val="134"/>
      </rPr>
      <t>上月结余</t>
    </r>
  </si>
  <si>
    <r>
      <rPr>
        <sz val="8"/>
        <rFont val="宋体"/>
        <family val="3"/>
        <charset val="134"/>
      </rPr>
      <t>本月产生</t>
    </r>
  </si>
  <si>
    <r>
      <rPr>
        <sz val="8"/>
        <rFont val="宋体"/>
        <family val="3"/>
        <charset val="134"/>
      </rPr>
      <t>本月已休</t>
    </r>
  </si>
  <si>
    <r>
      <rPr>
        <sz val="8"/>
        <rFont val="宋体"/>
        <family val="3"/>
        <charset val="134"/>
      </rPr>
      <t>本月结余</t>
    </r>
  </si>
  <si>
    <r>
      <rPr>
        <sz val="10"/>
        <rFont val="宋体"/>
        <family val="3"/>
        <charset val="134"/>
      </rPr>
      <t>平时</t>
    </r>
  </si>
  <si>
    <r>
      <rPr>
        <sz val="10"/>
        <rFont val="宋体"/>
        <family val="3"/>
        <charset val="134"/>
      </rPr>
      <t>休息日</t>
    </r>
  </si>
  <si>
    <r>
      <rPr>
        <sz val="10"/>
        <rFont val="宋体"/>
        <family val="3"/>
        <charset val="134"/>
      </rPr>
      <t>节假日</t>
    </r>
  </si>
  <si>
    <t>休息
天数</t>
  </si>
  <si>
    <t>休息日加班</t>
  </si>
  <si>
    <t>法定休息</t>
  </si>
  <si>
    <t>法定加班</t>
  </si>
  <si>
    <t>加班转调休</t>
  </si>
  <si>
    <t>合计</t>
  </si>
  <si>
    <t>项目部</t>
  </si>
  <si>
    <t>物业服务中心</t>
  </si>
  <si>
    <t>项目经理</t>
  </si>
  <si>
    <t>在职</t>
  </si>
  <si>
    <t>N</t>
  </si>
  <si>
    <t>L</t>
  </si>
  <si>
    <t>BT</t>
  </si>
  <si>
    <t>综合管理部</t>
  </si>
  <si>
    <t>出纳</t>
  </si>
  <si>
    <t>B</t>
  </si>
  <si>
    <t>综合助理</t>
  </si>
  <si>
    <t>客服部</t>
  </si>
  <si>
    <t>客服主任</t>
  </si>
  <si>
    <t>CL</t>
  </si>
  <si>
    <t>客服管家</t>
  </si>
  <si>
    <t>O</t>
  </si>
  <si>
    <t>AL</t>
  </si>
  <si>
    <t>A</t>
  </si>
  <si>
    <t>C</t>
  </si>
  <si>
    <t>PL</t>
  </si>
  <si>
    <t>工程部</t>
  </si>
  <si>
    <t>工程主任</t>
  </si>
  <si>
    <t>工程技工</t>
  </si>
  <si>
    <t>制表/日期：</t>
  </si>
  <si>
    <t>部门审核/日期：</t>
  </si>
  <si>
    <t>副总经理审核：</t>
  </si>
  <si>
    <t>综合管理部审核/日期：</t>
  </si>
  <si>
    <t>物业总经理/日期：</t>
  </si>
  <si>
    <t>H</t>
  </si>
  <si>
    <r>
      <rPr>
        <sz val="10"/>
        <rFont val="宋体"/>
        <family val="3"/>
        <charset val="134"/>
      </rPr>
      <t>法定假日</t>
    </r>
  </si>
  <si>
    <t>S</t>
  </si>
  <si>
    <r>
      <rPr>
        <sz val="10"/>
        <rFont val="宋体"/>
        <family val="3"/>
        <charset val="134"/>
      </rPr>
      <t>补休</t>
    </r>
  </si>
  <si>
    <t>MRL</t>
  </si>
  <si>
    <r>
      <rPr>
        <sz val="10"/>
        <rFont val="宋体"/>
        <family val="3"/>
        <charset val="134"/>
      </rPr>
      <t>婚假</t>
    </r>
  </si>
  <si>
    <r>
      <rPr>
        <sz val="10"/>
        <rFont val="宋体"/>
        <family val="3"/>
        <charset val="134"/>
      </rPr>
      <t>正常班</t>
    </r>
  </si>
  <si>
    <t>(8:30-18:00)</t>
  </si>
  <si>
    <t>早班</t>
  </si>
  <si>
    <t>(8:30-17:30)</t>
  </si>
  <si>
    <t>D</t>
  </si>
  <si>
    <t>(:00-:00)用餐(:00-:00)</t>
  </si>
  <si>
    <t>HO</t>
  </si>
  <si>
    <r>
      <rPr>
        <sz val="10"/>
        <rFont val="宋体"/>
        <family val="3"/>
        <charset val="134"/>
      </rPr>
      <t>法定假日加班</t>
    </r>
  </si>
  <si>
    <t>出差</t>
  </si>
  <si>
    <r>
      <rPr>
        <sz val="10"/>
        <rFont val="宋体"/>
        <family val="3"/>
        <charset val="134"/>
      </rPr>
      <t>年假</t>
    </r>
  </si>
  <si>
    <t>I</t>
  </si>
  <si>
    <r>
      <rPr>
        <sz val="10"/>
        <rFont val="宋体"/>
        <family val="3"/>
        <charset val="134"/>
      </rPr>
      <t>工伤</t>
    </r>
  </si>
  <si>
    <t>MTL</t>
  </si>
  <si>
    <r>
      <rPr>
        <sz val="10"/>
        <rFont val="宋体"/>
        <family val="3"/>
        <charset val="134"/>
      </rPr>
      <t>产假</t>
    </r>
    <r>
      <rPr>
        <sz val="10"/>
        <rFont val="Arial Narrow"/>
        <family val="2"/>
      </rPr>
      <t>\</t>
    </r>
    <r>
      <rPr>
        <sz val="10"/>
        <rFont val="宋体"/>
        <family val="3"/>
        <charset val="134"/>
      </rPr>
      <t>陪产假</t>
    </r>
  </si>
  <si>
    <t>P</t>
  </si>
  <si>
    <t>特批有薪假</t>
  </si>
  <si>
    <t>中班</t>
  </si>
  <si>
    <t>(13:00-22:00)</t>
  </si>
  <si>
    <t>AR</t>
  </si>
  <si>
    <t>加班</t>
  </si>
  <si>
    <t>LSL</t>
  </si>
  <si>
    <t>病假</t>
  </si>
  <si>
    <t>W</t>
  </si>
  <si>
    <r>
      <rPr>
        <sz val="10"/>
        <rFont val="宋体"/>
        <family val="3"/>
        <charset val="134"/>
      </rPr>
      <t>事假</t>
    </r>
  </si>
  <si>
    <t>X</t>
  </si>
  <si>
    <r>
      <rPr>
        <sz val="10"/>
        <rFont val="宋体"/>
        <family val="3"/>
        <charset val="134"/>
      </rPr>
      <t>旷工</t>
    </r>
  </si>
  <si>
    <t>FL</t>
  </si>
  <si>
    <t>丧假</t>
  </si>
  <si>
    <t>U</t>
  </si>
  <si>
    <t>晚班</t>
  </si>
  <si>
    <t>CR</t>
  </si>
  <si>
    <t>张1</t>
    <phoneticPr fontId="66" type="noConversion"/>
  </si>
  <si>
    <t>张2</t>
  </si>
  <si>
    <t>张3</t>
  </si>
  <si>
    <t>张4</t>
  </si>
  <si>
    <t>张5</t>
  </si>
  <si>
    <t>张6</t>
  </si>
  <si>
    <t>张7</t>
  </si>
  <si>
    <t>张8</t>
  </si>
  <si>
    <t>张9</t>
  </si>
  <si>
    <t>张10</t>
  </si>
  <si>
    <t>张11</t>
  </si>
  <si>
    <t>张12</t>
  </si>
  <si>
    <t>张13</t>
  </si>
  <si>
    <t>张14</t>
  </si>
  <si>
    <t>张15</t>
  </si>
  <si>
    <t>张16</t>
  </si>
  <si>
    <t>张17</t>
  </si>
  <si>
    <t>张18</t>
  </si>
  <si>
    <t>张19</t>
  </si>
  <si>
    <t>张20</t>
  </si>
  <si>
    <t>张21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</si>
</sst>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8" formatCode="&quot;$&quot;#,##0.00"/>
    <numFmt numFmtId="179" formatCode="_(* #,##0_);_(* \(#,##0\);_(* &quot;-&quot;_);_(@_)"/>
    <numFmt numFmtId="180" formatCode="_(* #,##0.00_);_(* \(#,##0.00\);_(* &quot;-&quot;??_);_(@_)"/>
    <numFmt numFmtId="181" formatCode="0.00_)"/>
    <numFmt numFmtId="182" formatCode="#,##0.0,_);[Red]\(#,##0.0,\);_(* &quot;-&quot;_)"/>
    <numFmt numFmtId="183" formatCode="0.00_ "/>
    <numFmt numFmtId="184" formatCode="0_ "/>
    <numFmt numFmtId="185" formatCode="0.0_ "/>
  </numFmts>
  <fonts count="68">
    <font>
      <sz val="11"/>
      <color theme="1"/>
      <name val="宋体"/>
      <charset val="134"/>
      <scheme val="minor"/>
    </font>
    <font>
      <sz val="18"/>
      <name val="Arial Narrow"/>
      <family val="2"/>
    </font>
    <font>
      <sz val="6"/>
      <name val="Arial Narrow"/>
      <family val="2"/>
    </font>
    <font>
      <sz val="12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sz val="10"/>
      <color indexed="10"/>
      <name val="Arial Narrow"/>
      <family val="2"/>
    </font>
    <font>
      <sz val="10"/>
      <color rgb="FFC00000"/>
      <name val="Arial Narrow"/>
      <family val="2"/>
    </font>
    <font>
      <sz val="6"/>
      <name val="宋体"/>
      <charset val="134"/>
      <scheme val="minor"/>
    </font>
    <font>
      <sz val="8"/>
      <name val="Arial Narrow"/>
      <family val="2"/>
    </font>
    <font>
      <sz val="6"/>
      <color indexed="10"/>
      <name val="Arial Narrow"/>
      <family val="2"/>
    </font>
    <font>
      <b/>
      <sz val="18"/>
      <name val="Arial Narrow"/>
      <family val="2"/>
    </font>
    <font>
      <b/>
      <sz val="12"/>
      <name val="Arial Narrow"/>
      <family val="2"/>
    </font>
    <font>
      <b/>
      <sz val="12"/>
      <name val="宋体"/>
      <charset val="134"/>
    </font>
    <font>
      <u/>
      <sz val="12"/>
      <name val="Arial Narrow"/>
      <family val="2"/>
    </font>
    <font>
      <b/>
      <sz val="12"/>
      <color indexed="10"/>
      <name val="Arial Narrow"/>
      <family val="2"/>
    </font>
    <font>
      <sz val="10"/>
      <name val="宋体"/>
      <charset val="134"/>
    </font>
    <font>
      <sz val="8"/>
      <name val="Arial"/>
      <family val="2"/>
    </font>
    <font>
      <sz val="8"/>
      <name val="宋体"/>
      <charset val="134"/>
    </font>
    <font>
      <b/>
      <sz val="10"/>
      <name val="Arial Narrow"/>
      <family val="2"/>
    </font>
    <font>
      <sz val="10"/>
      <color rgb="FFFF0000"/>
      <name val="宋体"/>
      <charset val="134"/>
    </font>
    <font>
      <sz val="8"/>
      <color indexed="10"/>
      <name val="Arial Narrow"/>
      <family val="2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6"/>
      <name val="Arial Narrow"/>
      <family val="2"/>
    </font>
    <font>
      <sz val="8.5"/>
      <name val="Arial Narrow"/>
      <family val="2"/>
    </font>
    <font>
      <b/>
      <i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2"/>
      <color indexed="32"/>
      <name val="Arial"/>
      <family val="2"/>
    </font>
    <font>
      <sz val="10"/>
      <name val="Arial"/>
      <family val="2"/>
    </font>
    <font>
      <b/>
      <sz val="8"/>
      <color indexed="32"/>
      <name val="Arial"/>
      <family val="2"/>
    </font>
    <font>
      <sz val="10"/>
      <name val="MS Sans Serif"/>
      <family val="2"/>
    </font>
    <font>
      <b/>
      <sz val="24"/>
      <name val="Arial Narrow"/>
      <family val="2"/>
    </font>
    <font>
      <sz val="8"/>
      <color indexed="18"/>
      <name val="Arial"/>
      <family val="2"/>
    </font>
    <font>
      <sz val="12"/>
      <name val="宋体"/>
      <charset val="134"/>
    </font>
    <font>
      <b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i/>
      <sz val="9"/>
      <color indexed="18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b/>
      <i/>
      <sz val="16"/>
      <name val="Helv"/>
      <family val="2"/>
    </font>
    <font>
      <sz val="10"/>
      <name val="Arial Unicode MS"/>
      <family val="2"/>
    </font>
    <font>
      <sz val="9"/>
      <name val="Times New Roman"/>
      <family val="1"/>
    </font>
    <font>
      <sz val="8"/>
      <color indexed="38"/>
      <name val="Arial"/>
      <family val="2"/>
    </font>
    <font>
      <b/>
      <sz val="10"/>
      <name val="Arial"/>
      <family val="2"/>
    </font>
    <font>
      <sz val="8"/>
      <color indexed="32"/>
      <name val="Arial"/>
      <family val="2"/>
    </font>
    <font>
      <b/>
      <sz val="10"/>
      <color indexed="32"/>
      <name val="Arial"/>
      <family val="2"/>
    </font>
    <font>
      <sz val="10"/>
      <color theme="1"/>
      <name val="宋体"/>
      <family val="3"/>
      <charset val="134"/>
      <scheme val="minor"/>
    </font>
    <font>
      <b/>
      <sz val="18"/>
      <name val="宋体"/>
      <family val="3"/>
      <charset val="134"/>
    </font>
    <font>
      <b/>
      <sz val="1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2"/>
      <charset val="134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5"/>
        <bgColor indexed="55"/>
      </patternFill>
    </fill>
    <fill>
      <patternFill patternType="solid">
        <fgColor indexed="22"/>
        <bgColor indexed="22"/>
      </patternFill>
    </fill>
  </fills>
  <borders count="4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</borders>
  <cellStyleXfs count="70">
    <xf numFmtId="0" fontId="0" fillId="0" borderId="0">
      <alignment vertical="center"/>
    </xf>
    <xf numFmtId="0" fontId="26" fillId="0" borderId="0" applyFill="0">
      <alignment vertical="top"/>
    </xf>
    <xf numFmtId="178" fontId="27" fillId="0" borderId="26" applyFill="0"/>
    <xf numFmtId="4" fontId="28" fillId="0" borderId="0" applyFill="0"/>
    <xf numFmtId="0" fontId="29" fillId="0" borderId="0">
      <alignment horizontal="left" indent="2"/>
    </xf>
    <xf numFmtId="178" fontId="17" fillId="0" borderId="0" applyFill="0"/>
    <xf numFmtId="178" fontId="30" fillId="0" borderId="45" applyFill="0"/>
    <xf numFmtId="4" fontId="31" fillId="0" borderId="0" applyFill="0"/>
    <xf numFmtId="0" fontId="32" fillId="0" borderId="0" applyFill="0"/>
    <xf numFmtId="0" fontId="33" fillId="0" borderId="0" applyNumberFormat="0" applyFill="0" applyBorder="0" applyAlignment="0" applyProtection="0"/>
    <xf numFmtId="178" fontId="17" fillId="0" borderId="0">
      <alignment horizontal="center"/>
    </xf>
    <xf numFmtId="0" fontId="31" fillId="0" borderId="0" applyFill="0">
      <alignment horizontal="left" indent="6"/>
    </xf>
    <xf numFmtId="0" fontId="26" fillId="0" borderId="0" applyFill="0">
      <alignment wrapText="1"/>
    </xf>
    <xf numFmtId="0" fontId="33" fillId="0" borderId="0" applyFont="0" applyAlignment="0"/>
    <xf numFmtId="178" fontId="34" fillId="15" borderId="26">
      <alignment horizontal="right"/>
    </xf>
    <xf numFmtId="179" fontId="33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horizontal="left"/>
    </xf>
    <xf numFmtId="0" fontId="36" fillId="0" borderId="0" applyNumberFormat="0" applyFont="0" applyAlignment="0">
      <alignment horizontal="center"/>
    </xf>
    <xf numFmtId="0" fontId="30" fillId="0" borderId="0" applyFill="0">
      <alignment horizontal="left" vertical="top" wrapText="1"/>
    </xf>
    <xf numFmtId="0" fontId="33" fillId="0" borderId="0"/>
    <xf numFmtId="4" fontId="37" fillId="0" borderId="0" applyFill="0"/>
    <xf numFmtId="0" fontId="17" fillId="0" borderId="0" applyFill="0">
      <alignment horizontal="center"/>
    </xf>
    <xf numFmtId="0" fontId="33" fillId="0" borderId="0" applyNumberFormat="0" applyFont="0" applyAlignment="0"/>
    <xf numFmtId="0" fontId="38" fillId="0" borderId="0"/>
    <xf numFmtId="0" fontId="30" fillId="0" borderId="0" applyFill="0">
      <alignment horizontal="left" vertical="top"/>
    </xf>
    <xf numFmtId="178" fontId="39" fillId="0" borderId="0" applyFill="0"/>
    <xf numFmtId="0" fontId="40" fillId="0" borderId="0" applyFill="0">
      <alignment vertical="top" wrapText="1"/>
    </xf>
    <xf numFmtId="0" fontId="27" fillId="0" borderId="0" applyFill="0">
      <alignment horizontal="left" vertical="top" wrapText="1"/>
    </xf>
    <xf numFmtId="178" fontId="33" fillId="0" borderId="0" applyFill="0"/>
    <xf numFmtId="0" fontId="41" fillId="0" borderId="0" applyFill="0">
      <alignment vertical="center" wrapText="1"/>
    </xf>
    <xf numFmtId="0" fontId="42" fillId="0" borderId="0">
      <alignment horizontal="left" vertical="center" wrapText="1"/>
    </xf>
    <xf numFmtId="178" fontId="28" fillId="0" borderId="0" applyFill="0"/>
    <xf numFmtId="0" fontId="43" fillId="0" borderId="0" applyFill="0">
      <alignment horizontal="center" vertical="center" wrapText="1"/>
    </xf>
    <xf numFmtId="180" fontId="33" fillId="0" borderId="0" applyFont="0" applyFill="0" applyBorder="0" applyAlignment="0" applyProtection="0"/>
    <xf numFmtId="0" fontId="33" fillId="0" borderId="0" applyFill="0">
      <alignment horizontal="center" vertical="center" wrapText="1"/>
    </xf>
    <xf numFmtId="178" fontId="31" fillId="0" borderId="0" applyFill="0"/>
    <xf numFmtId="0" fontId="44" fillId="0" borderId="0" applyFill="0">
      <alignment horizontal="center" vertical="center" wrapText="1"/>
    </xf>
    <xf numFmtId="0" fontId="45" fillId="0" borderId="0" applyFill="0">
      <alignment horizontal="center" vertical="center" wrapText="1"/>
    </xf>
    <xf numFmtId="178" fontId="37" fillId="0" borderId="0" applyFill="0"/>
    <xf numFmtId="0" fontId="46" fillId="0" borderId="0">
      <alignment horizontal="center" wrapText="1"/>
    </xf>
    <xf numFmtId="0" fontId="31" fillId="0" borderId="0" applyFill="0">
      <alignment horizontal="center" wrapText="1"/>
    </xf>
    <xf numFmtId="0" fontId="45" fillId="0" borderId="0" applyFill="0">
      <alignment horizontal="left" indent="5"/>
    </xf>
    <xf numFmtId="38" fontId="47" fillId="0" borderId="0"/>
    <xf numFmtId="0" fontId="46" fillId="0" borderId="0" applyFill="0">
      <alignment horizontal="left" indent="6"/>
    </xf>
    <xf numFmtId="38" fontId="48" fillId="0" borderId="0"/>
    <xf numFmtId="38" fontId="49" fillId="0" borderId="0"/>
    <xf numFmtId="38" fontId="50" fillId="0" borderId="0"/>
    <xf numFmtId="0" fontId="51" fillId="0" borderId="0"/>
    <xf numFmtId="0" fontId="44" fillId="0" borderId="0">
      <alignment horizontal="left" indent="5"/>
    </xf>
    <xf numFmtId="181" fontId="52" fillId="0" borderId="0"/>
    <xf numFmtId="0" fontId="53" fillId="0" borderId="0"/>
    <xf numFmtId="182" fontId="54" fillId="0" borderId="0"/>
    <xf numFmtId="0" fontId="27" fillId="0" borderId="0">
      <alignment horizontal="left"/>
    </xf>
    <xf numFmtId="4" fontId="35" fillId="0" borderId="0" applyFont="0" applyFill="0" applyBorder="0" applyAlignment="0" applyProtection="0"/>
    <xf numFmtId="4" fontId="17" fillId="0" borderId="0" applyFill="0"/>
    <xf numFmtId="0" fontId="55" fillId="0" borderId="0">
      <alignment horizontal="left" indent="7"/>
    </xf>
    <xf numFmtId="0" fontId="33" fillId="0" borderId="26" applyNumberFormat="0" applyFont="0" applyBorder="0" applyAlignment="0"/>
    <xf numFmtId="0" fontId="33" fillId="0" borderId="0" applyFill="0">
      <alignment horizontal="left" indent="4"/>
    </xf>
    <xf numFmtId="0" fontId="56" fillId="0" borderId="30" applyNumberFormat="0" applyFont="0" applyBorder="0">
      <alignment horizontal="right"/>
    </xf>
    <xf numFmtId="0" fontId="33" fillId="0" borderId="0" applyNumberFormat="0" applyFont="0" applyFill="0" applyBorder="0" applyAlignment="0"/>
    <xf numFmtId="4" fontId="57" fillId="16" borderId="26"/>
    <xf numFmtId="0" fontId="33" fillId="0" borderId="0" applyNumberFormat="0" applyFont="0" applyBorder="0" applyAlignment="0"/>
    <xf numFmtId="0" fontId="58" fillId="0" borderId="0" applyFill="0">
      <alignment horizontal="left" indent="2"/>
    </xf>
    <xf numFmtId="4" fontId="17" fillId="0" borderId="26" applyFill="0"/>
    <xf numFmtId="0" fontId="43" fillId="0" borderId="0" applyFill="0">
      <alignment horizontal="left" indent="4"/>
    </xf>
    <xf numFmtId="0" fontId="56" fillId="0" borderId="0" applyFill="0" applyBorder="0">
      <alignment horizontal="left" indent="4"/>
    </xf>
    <xf numFmtId="0" fontId="43" fillId="0" borderId="0">
      <alignment horizontal="left" indent="4"/>
    </xf>
    <xf numFmtId="0" fontId="38" fillId="0" borderId="0"/>
    <xf numFmtId="0" fontId="38" fillId="0" borderId="0">
      <alignment vertical="center"/>
    </xf>
    <xf numFmtId="0" fontId="59" fillId="0" borderId="0">
      <alignment vertical="center"/>
    </xf>
  </cellStyleXfs>
  <cellXfs count="195">
    <xf numFmtId="0" fontId="0" fillId="0" borderId="0" xfId="0">
      <alignment vertical="center"/>
    </xf>
    <xf numFmtId="0" fontId="1" fillId="0" borderId="0" xfId="67" applyFont="1" applyAlignment="1">
      <alignment horizontal="center" vertical="center"/>
    </xf>
    <xf numFmtId="0" fontId="2" fillId="0" borderId="0" xfId="67" applyFont="1" applyAlignment="1">
      <alignment horizontal="center" vertical="center"/>
    </xf>
    <xf numFmtId="0" fontId="3" fillId="0" borderId="0" xfId="67" applyFont="1" applyAlignment="1">
      <alignment horizontal="center" vertical="center"/>
    </xf>
    <xf numFmtId="0" fontId="4" fillId="0" borderId="0" xfId="67" applyFont="1" applyAlignment="1">
      <alignment horizontal="center" vertical="center"/>
    </xf>
    <xf numFmtId="0" fontId="5" fillId="0" borderId="0" xfId="67" applyFont="1" applyAlignment="1">
      <alignment horizontal="center" vertical="center"/>
    </xf>
    <xf numFmtId="0" fontId="5" fillId="2" borderId="0" xfId="67" applyFont="1" applyFill="1" applyAlignment="1">
      <alignment horizontal="center" vertical="center"/>
    </xf>
    <xf numFmtId="0" fontId="6" fillId="2" borderId="0" xfId="67" applyFont="1" applyFill="1" applyAlignment="1">
      <alignment horizontal="center" vertical="center"/>
    </xf>
    <xf numFmtId="0" fontId="7" fillId="2" borderId="0" xfId="67" applyFont="1" applyFill="1" applyAlignment="1">
      <alignment horizontal="center" vertical="center"/>
    </xf>
    <xf numFmtId="0" fontId="7" fillId="0" borderId="0" xfId="67" applyFont="1" applyAlignment="1">
      <alignment horizontal="center" vertical="center"/>
    </xf>
    <xf numFmtId="0" fontId="8" fillId="0" borderId="0" xfId="67" applyFont="1" applyAlignment="1">
      <alignment horizontal="center" vertical="center"/>
    </xf>
    <xf numFmtId="0" fontId="9" fillId="0" borderId="0" xfId="67" applyFont="1" applyAlignment="1">
      <alignment horizontal="center" vertical="center"/>
    </xf>
    <xf numFmtId="0" fontId="9" fillId="0" borderId="0" xfId="67" applyFont="1" applyAlignment="1">
      <alignment horizontal="center" vertical="center" wrapText="1"/>
    </xf>
    <xf numFmtId="49" fontId="9" fillId="0" borderId="0" xfId="67" applyNumberFormat="1" applyFont="1" applyAlignment="1">
      <alignment horizontal="center" vertical="center" wrapText="1"/>
    </xf>
    <xf numFmtId="0" fontId="10" fillId="0" borderId="0" xfId="67" applyFont="1" applyAlignment="1">
      <alignment horizontal="center" vertical="center"/>
    </xf>
    <xf numFmtId="183" fontId="2" fillId="0" borderId="0" xfId="67" applyNumberFormat="1" applyFont="1" applyAlignment="1">
      <alignment horizontal="center" vertical="center"/>
    </xf>
    <xf numFmtId="0" fontId="2" fillId="0" borderId="0" xfId="67" applyFont="1" applyAlignment="1">
      <alignment vertical="center"/>
    </xf>
    <xf numFmtId="0" fontId="2" fillId="0" borderId="0" xfId="67" applyFont="1" applyAlignment="1">
      <alignment horizontal="left" vertical="center"/>
    </xf>
    <xf numFmtId="0" fontId="1" fillId="0" borderId="0" xfId="67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67" applyFont="1" applyAlignment="1">
      <alignment horizontal="center" vertical="center"/>
    </xf>
    <xf numFmtId="0" fontId="11" fillId="0" borderId="0" xfId="67" applyFont="1" applyAlignment="1">
      <alignment vertical="center"/>
    </xf>
    <xf numFmtId="0" fontId="11" fillId="3" borderId="1" xfId="67" applyFont="1" applyFill="1" applyBorder="1" applyAlignment="1">
      <alignment horizontal="center" vertical="center"/>
    </xf>
    <xf numFmtId="183" fontId="11" fillId="0" borderId="0" xfId="67" applyNumberFormat="1" applyFont="1" applyAlignment="1">
      <alignment vertical="center"/>
    </xf>
    <xf numFmtId="0" fontId="1" fillId="0" borderId="0" xfId="67" applyFont="1" applyAlignment="1">
      <alignment horizontal="left" vertical="center"/>
    </xf>
    <xf numFmtId="0" fontId="12" fillId="0" borderId="0" xfId="67" applyFont="1" applyAlignment="1">
      <alignment horizontal="center" vertical="center"/>
    </xf>
    <xf numFmtId="0" fontId="12" fillId="0" borderId="0" xfId="67" applyFont="1" applyAlignment="1">
      <alignment vertical="center"/>
    </xf>
    <xf numFmtId="0" fontId="12" fillId="0" borderId="0" xfId="67" applyFont="1" applyAlignment="1">
      <alignment horizontal="right" vertical="center"/>
    </xf>
    <xf numFmtId="183" fontId="12" fillId="0" borderId="0" xfId="67" applyNumberFormat="1" applyFont="1" applyAlignment="1">
      <alignment vertical="center"/>
    </xf>
    <xf numFmtId="0" fontId="12" fillId="0" borderId="2" xfId="67" applyFont="1" applyBorder="1" applyAlignment="1">
      <alignment vertical="center"/>
    </xf>
    <xf numFmtId="0" fontId="12" fillId="0" borderId="3" xfId="67" applyFont="1" applyBorder="1" applyAlignment="1">
      <alignment horizontal="center" vertical="center" wrapText="1"/>
    </xf>
    <xf numFmtId="49" fontId="12" fillId="0" borderId="3" xfId="67" applyNumberFormat="1" applyFont="1" applyBorder="1" applyAlignment="1">
      <alignment horizontal="center" vertical="center" wrapText="1"/>
    </xf>
    <xf numFmtId="0" fontId="13" fillId="0" borderId="3" xfId="67" applyFont="1" applyBorder="1" applyAlignment="1">
      <alignment horizontal="center" vertical="center" wrapText="1"/>
    </xf>
    <xf numFmtId="0" fontId="12" fillId="0" borderId="3" xfId="67" applyFont="1" applyBorder="1" applyAlignment="1">
      <alignment horizontal="center" vertical="center"/>
    </xf>
    <xf numFmtId="0" fontId="12" fillId="0" borderId="3" xfId="67" applyFont="1" applyBorder="1" applyAlignment="1">
      <alignment vertical="center"/>
    </xf>
    <xf numFmtId="0" fontId="3" fillId="0" borderId="3" xfId="67" applyFont="1" applyBorder="1" applyAlignment="1">
      <alignment vertical="center"/>
    </xf>
    <xf numFmtId="0" fontId="3" fillId="0" borderId="3" xfId="67" applyFont="1" applyBorder="1" applyAlignment="1">
      <alignment horizontal="left" vertical="center"/>
    </xf>
    <xf numFmtId="0" fontId="15" fillId="0" borderId="3" xfId="67" applyFont="1" applyBorder="1" applyAlignment="1">
      <alignment horizontal="center" vertical="center"/>
    </xf>
    <xf numFmtId="183" fontId="12" fillId="0" borderId="3" xfId="67" applyNumberFormat="1" applyFont="1" applyBorder="1" applyAlignment="1">
      <alignment horizontal="center" vertical="center"/>
    </xf>
    <xf numFmtId="0" fontId="3" fillId="0" borderId="3" xfId="67" applyFont="1" applyBorder="1" applyAlignment="1">
      <alignment horizontal="center" vertical="center"/>
    </xf>
    <xf numFmtId="0" fontId="12" fillId="0" borderId="5" xfId="67" applyFont="1" applyBorder="1" applyAlignment="1">
      <alignment horizontal="center" vertical="center"/>
    </xf>
    <xf numFmtId="0" fontId="3" fillId="0" borderId="0" xfId="67" applyFont="1" applyAlignment="1">
      <alignment horizontal="left" vertical="center"/>
    </xf>
    <xf numFmtId="0" fontId="4" fillId="0" borderId="6" xfId="67" applyFont="1" applyBorder="1" applyAlignment="1">
      <alignment horizontal="left" vertical="center"/>
    </xf>
    <xf numFmtId="0" fontId="4" fillId="0" borderId="7" xfId="67" applyFont="1" applyBorder="1" applyAlignment="1">
      <alignment horizontal="center" vertical="center" wrapText="1"/>
    </xf>
    <xf numFmtId="49" fontId="4" fillId="0" borderId="7" xfId="67" applyNumberFormat="1" applyFont="1" applyBorder="1" applyAlignment="1">
      <alignment horizontal="center" vertical="center" wrapText="1"/>
    </xf>
    <xf numFmtId="0" fontId="12" fillId="0" borderId="7" xfId="67" applyFont="1" applyBorder="1" applyAlignment="1">
      <alignment horizontal="center" vertical="center"/>
    </xf>
    <xf numFmtId="0" fontId="4" fillId="0" borderId="7" xfId="67" applyFont="1" applyBorder="1" applyAlignment="1">
      <alignment horizontal="center" vertical="center"/>
    </xf>
    <xf numFmtId="0" fontId="15" fillId="0" borderId="7" xfId="67" applyFont="1" applyBorder="1" applyAlignment="1">
      <alignment horizontal="center" vertical="center"/>
    </xf>
    <xf numFmtId="183" fontId="12" fillId="0" borderId="0" xfId="67" applyNumberFormat="1" applyFont="1" applyAlignment="1">
      <alignment horizontal="center" vertical="center"/>
    </xf>
    <xf numFmtId="0" fontId="12" fillId="0" borderId="8" xfId="67" applyFont="1" applyBorder="1" applyAlignment="1">
      <alignment horizontal="center" vertical="center"/>
    </xf>
    <xf numFmtId="0" fontId="4" fillId="4" borderId="12" xfId="67" applyFont="1" applyFill="1" applyBorder="1" applyAlignment="1">
      <alignment horizontal="center" vertical="center" wrapText="1"/>
    </xf>
    <xf numFmtId="0" fontId="4" fillId="4" borderId="13" xfId="67" applyFont="1" applyFill="1" applyBorder="1" applyAlignment="1">
      <alignment horizontal="center" vertical="center" wrapText="1"/>
    </xf>
    <xf numFmtId="0" fontId="4" fillId="0" borderId="16" xfId="67" applyFont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8" fillId="7" borderId="22" xfId="67" applyFont="1" applyFill="1" applyBorder="1" applyAlignment="1">
      <alignment horizontal="center" vertical="center" textRotation="255"/>
    </xf>
    <xf numFmtId="0" fontId="9" fillId="7" borderId="23" xfId="67" applyFont="1" applyFill="1" applyBorder="1" applyAlignment="1">
      <alignment horizontal="center" vertical="center" textRotation="255"/>
    </xf>
    <xf numFmtId="0" fontId="18" fillId="7" borderId="23" xfId="67" applyFont="1" applyFill="1" applyBorder="1" applyAlignment="1">
      <alignment horizontal="center" vertical="center" textRotation="255"/>
    </xf>
    <xf numFmtId="0" fontId="9" fillId="7" borderId="24" xfId="67" applyFont="1" applyFill="1" applyBorder="1" applyAlignment="1">
      <alignment horizontal="center" vertical="center" textRotation="255"/>
    </xf>
    <xf numFmtId="0" fontId="9" fillId="0" borderId="25" xfId="67" applyFont="1" applyBorder="1" applyAlignment="1">
      <alignment horizontal="center" vertical="center" textRotation="255"/>
    </xf>
    <xf numFmtId="0" fontId="9" fillId="0" borderId="23" xfId="67" applyFont="1" applyBorder="1" applyAlignment="1">
      <alignment horizontal="center" vertical="center" textRotation="255"/>
    </xf>
    <xf numFmtId="0" fontId="9" fillId="0" borderId="23" xfId="67" applyFont="1" applyBorder="1" applyAlignment="1">
      <alignment horizontal="center" vertical="center" textRotation="255" wrapText="1"/>
    </xf>
    <xf numFmtId="0" fontId="9" fillId="0" borderId="24" xfId="67" applyFont="1" applyBorder="1" applyAlignment="1">
      <alignment horizontal="center" vertical="center" textRotation="255"/>
    </xf>
    <xf numFmtId="0" fontId="4" fillId="0" borderId="25" xfId="67" applyFont="1" applyBorder="1" applyAlignment="1">
      <alignment horizontal="center" vertical="center" textRotation="255"/>
    </xf>
    <xf numFmtId="0" fontId="4" fillId="0" borderId="23" xfId="67" applyFont="1" applyBorder="1" applyAlignment="1">
      <alignment horizontal="center" vertical="center" textRotation="255"/>
    </xf>
    <xf numFmtId="0" fontId="4" fillId="0" borderId="24" xfId="67" applyFont="1" applyBorder="1" applyAlignment="1">
      <alignment horizontal="center" vertical="center" textRotation="255"/>
    </xf>
    <xf numFmtId="0" fontId="16" fillId="0" borderId="0" xfId="67" applyFont="1" applyAlignment="1">
      <alignment horizontal="left" vertical="center" wrapText="1"/>
    </xf>
    <xf numFmtId="0" fontId="4" fillId="0" borderId="21" xfId="23" applyFont="1" applyBorder="1" applyAlignment="1">
      <alignment horizontal="center" vertical="center"/>
    </xf>
    <xf numFmtId="0" fontId="4" fillId="0" borderId="29" xfId="23" applyFont="1" applyBorder="1" applyAlignment="1">
      <alignment horizontal="center" vertical="center" wrapText="1"/>
    </xf>
    <xf numFmtId="49" fontId="4" fillId="0" borderId="30" xfId="23" applyNumberFormat="1" applyFont="1" applyBorder="1" applyAlignment="1">
      <alignment horizontal="center" vertical="center" wrapText="1"/>
    </xf>
    <xf numFmtId="0" fontId="4" fillId="0" borderId="30" xfId="23" applyFont="1" applyBorder="1" applyAlignment="1">
      <alignment horizontal="center" vertical="center" wrapText="1"/>
    </xf>
    <xf numFmtId="0" fontId="4" fillId="0" borderId="31" xfId="23" applyFont="1" applyBorder="1" applyAlignment="1">
      <alignment horizontal="center" vertical="center" wrapText="1"/>
    </xf>
    <xf numFmtId="0" fontId="4" fillId="0" borderId="30" xfId="67" applyFont="1" applyBorder="1" applyAlignment="1">
      <alignment horizontal="center" vertical="center" wrapText="1"/>
    </xf>
    <xf numFmtId="184" fontId="4" fillId="0" borderId="31" xfId="67" applyNumberFormat="1" applyFont="1" applyBorder="1" applyAlignment="1">
      <alignment horizontal="center" vertical="center" wrapText="1"/>
    </xf>
    <xf numFmtId="0" fontId="4" fillId="0" borderId="29" xfId="67" applyFont="1" applyBorder="1" applyAlignment="1">
      <alignment horizontal="center" vertical="center" wrapText="1"/>
    </xf>
    <xf numFmtId="0" fontId="4" fillId="0" borderId="32" xfId="67" applyFont="1" applyBorder="1" applyAlignment="1">
      <alignment horizontal="center" vertical="center" wrapText="1"/>
    </xf>
    <xf numFmtId="0" fontId="4" fillId="0" borderId="21" xfId="67" applyFont="1" applyBorder="1" applyAlignment="1">
      <alignment horizontal="center" vertical="center"/>
    </xf>
    <xf numFmtId="0" fontId="4" fillId="0" borderId="30" xfId="67" applyFont="1" applyBorder="1" applyAlignment="1">
      <alignment horizontal="center" vertical="center"/>
    </xf>
    <xf numFmtId="0" fontId="4" fillId="0" borderId="32" xfId="67" applyFont="1" applyBorder="1" applyAlignment="1">
      <alignment horizontal="center" vertical="center"/>
    </xf>
    <xf numFmtId="0" fontId="4" fillId="0" borderId="21" xfId="67" applyFont="1" applyBorder="1" applyAlignment="1">
      <alignment horizontal="center" vertical="center" wrapText="1"/>
    </xf>
    <xf numFmtId="0" fontId="4" fillId="5" borderId="33" xfId="67" applyFont="1" applyFill="1" applyBorder="1" applyAlignment="1">
      <alignment horizontal="center" vertical="center"/>
    </xf>
    <xf numFmtId="0" fontId="4" fillId="0" borderId="34" xfId="67" applyFont="1" applyBorder="1" applyAlignment="1">
      <alignment horizontal="center" vertical="center" wrapText="1"/>
    </xf>
    <xf numFmtId="0" fontId="16" fillId="0" borderId="0" xfId="67" applyFont="1" applyAlignment="1">
      <alignment horizontal="left" vertical="center"/>
    </xf>
    <xf numFmtId="0" fontId="4" fillId="0" borderId="31" xfId="23" applyFont="1" applyBorder="1" applyAlignment="1">
      <alignment horizontal="center" vertical="center"/>
    </xf>
    <xf numFmtId="0" fontId="7" fillId="0" borderId="34" xfId="67" applyFont="1" applyBorder="1" applyAlignment="1">
      <alignment horizontal="center" vertical="center" wrapText="1"/>
    </xf>
    <xf numFmtId="183" fontId="4" fillId="0" borderId="21" xfId="67" applyNumberFormat="1" applyFont="1" applyBorder="1" applyAlignment="1">
      <alignment horizontal="center" vertical="center" wrapText="1"/>
    </xf>
    <xf numFmtId="0" fontId="4" fillId="0" borderId="35" xfId="67" applyFont="1" applyBorder="1" applyAlignment="1">
      <alignment horizontal="center" vertical="center" wrapText="1"/>
    </xf>
    <xf numFmtId="0" fontId="2" fillId="0" borderId="2" xfId="67" applyFont="1" applyBorder="1" applyAlignment="1">
      <alignment horizontal="center" vertical="center"/>
    </xf>
    <xf numFmtId="0" fontId="2" fillId="0" borderId="3" xfId="67" applyFont="1" applyBorder="1" applyAlignment="1">
      <alignment horizontal="center" vertical="center" wrapText="1"/>
    </xf>
    <xf numFmtId="49" fontId="2" fillId="0" borderId="3" xfId="67" applyNumberFormat="1" applyFont="1" applyBorder="1" applyAlignment="1">
      <alignment horizontal="center" vertical="center" wrapText="1"/>
    </xf>
    <xf numFmtId="0" fontId="4" fillId="0" borderId="3" xfId="67" applyFont="1" applyBorder="1" applyAlignment="1">
      <alignment horizontal="center" vertical="center"/>
    </xf>
    <xf numFmtId="0" fontId="21" fillId="0" borderId="3" xfId="67" applyFont="1" applyBorder="1" applyAlignment="1">
      <alignment horizontal="center" vertical="center"/>
    </xf>
    <xf numFmtId="0" fontId="9" fillId="0" borderId="3" xfId="67" applyFont="1" applyBorder="1" applyAlignment="1">
      <alignment horizontal="center" vertical="center"/>
    </xf>
    <xf numFmtId="0" fontId="9" fillId="0" borderId="3" xfId="67" applyFont="1" applyBorder="1" applyAlignment="1">
      <alignment horizontal="center" vertical="center" wrapText="1"/>
    </xf>
    <xf numFmtId="0" fontId="2" fillId="0" borderId="3" xfId="67" applyFont="1" applyBorder="1" applyAlignment="1">
      <alignment horizontal="center" vertical="center"/>
    </xf>
    <xf numFmtId="0" fontId="2" fillId="0" borderId="5" xfId="67" applyFont="1" applyBorder="1" applyAlignment="1">
      <alignment horizontal="center" vertical="center"/>
    </xf>
    <xf numFmtId="0" fontId="2" fillId="0" borderId="36" xfId="67" applyFont="1" applyBorder="1" applyAlignment="1">
      <alignment horizontal="center" vertical="center"/>
    </xf>
    <xf numFmtId="0" fontId="2" fillId="0" borderId="0" xfId="67" applyFont="1" applyAlignment="1">
      <alignment horizontal="center" vertical="center" wrapText="1"/>
    </xf>
    <xf numFmtId="49" fontId="2" fillId="0" borderId="0" xfId="67" applyNumberFormat="1" applyFont="1" applyAlignment="1">
      <alignment horizontal="center" vertical="center" wrapText="1"/>
    </xf>
    <xf numFmtId="0" fontId="21" fillId="0" borderId="0" xfId="67" applyFont="1" applyAlignment="1">
      <alignment horizontal="center" vertical="center"/>
    </xf>
    <xf numFmtId="183" fontId="9" fillId="0" borderId="0" xfId="67" applyNumberFormat="1" applyFont="1" applyAlignment="1">
      <alignment horizontal="center" vertical="center"/>
    </xf>
    <xf numFmtId="0" fontId="4" fillId="0" borderId="0" xfId="67" applyFont="1" applyAlignment="1">
      <alignment vertical="center"/>
    </xf>
    <xf numFmtId="0" fontId="2" fillId="0" borderId="8" xfId="67" applyFont="1" applyBorder="1" applyAlignment="1">
      <alignment horizontal="center" vertical="center"/>
    </xf>
    <xf numFmtId="0" fontId="4" fillId="0" borderId="36" xfId="67" applyFont="1" applyBorder="1" applyAlignment="1">
      <alignment horizontal="center" vertical="center"/>
    </xf>
    <xf numFmtId="0" fontId="22" fillId="0" borderId="0" xfId="67" applyFont="1" applyAlignment="1">
      <alignment horizontal="left" vertical="center"/>
    </xf>
    <xf numFmtId="0" fontId="4" fillId="0" borderId="0" xfId="67" applyFont="1" applyAlignment="1">
      <alignment horizontal="left" vertical="center"/>
    </xf>
    <xf numFmtId="0" fontId="16" fillId="0" borderId="0" xfId="67" applyFont="1" applyAlignment="1">
      <alignment horizontal="center" vertical="center"/>
    </xf>
    <xf numFmtId="0" fontId="6" fillId="0" borderId="0" xfId="67" applyFont="1" applyAlignment="1">
      <alignment horizontal="right" vertical="center"/>
    </xf>
    <xf numFmtId="0" fontId="4" fillId="0" borderId="0" xfId="67" applyFont="1" applyAlignment="1">
      <alignment horizontal="center" vertical="center" wrapText="1"/>
    </xf>
    <xf numFmtId="183" fontId="4" fillId="0" borderId="0" xfId="67" applyNumberFormat="1" applyFont="1" applyAlignment="1">
      <alignment horizontal="left" vertical="center"/>
    </xf>
    <xf numFmtId="0" fontId="4" fillId="0" borderId="8" xfId="67" applyFont="1" applyBorder="1" applyAlignment="1">
      <alignment horizontal="center" vertical="center"/>
    </xf>
    <xf numFmtId="0" fontId="8" fillId="0" borderId="36" xfId="67" applyFont="1" applyBorder="1" applyAlignment="1">
      <alignment horizontal="center" vertical="center"/>
    </xf>
    <xf numFmtId="0" fontId="8" fillId="0" borderId="0" xfId="67" applyFont="1" applyAlignment="1">
      <alignment horizontal="center" vertical="center" wrapText="1"/>
    </xf>
    <xf numFmtId="49" fontId="8" fillId="0" borderId="0" xfId="67" applyNumberFormat="1" applyFont="1" applyAlignment="1">
      <alignment horizontal="center" vertical="center" wrapText="1"/>
    </xf>
    <xf numFmtId="0" fontId="23" fillId="0" borderId="0" xfId="67" applyFont="1" applyAlignment="1">
      <alignment horizontal="center" vertical="center"/>
    </xf>
    <xf numFmtId="0" fontId="22" fillId="0" borderId="0" xfId="67" applyFont="1" applyAlignment="1">
      <alignment horizontal="center" vertical="center"/>
    </xf>
    <xf numFmtId="0" fontId="23" fillId="0" borderId="0" xfId="67" applyFont="1" applyAlignment="1">
      <alignment horizontal="center" vertical="center" wrapText="1"/>
    </xf>
    <xf numFmtId="49" fontId="4" fillId="8" borderId="0" xfId="67" applyNumberFormat="1" applyFont="1" applyFill="1" applyAlignment="1">
      <alignment horizontal="center" vertical="center"/>
    </xf>
    <xf numFmtId="0" fontId="4" fillId="9" borderId="0" xfId="67" applyFont="1" applyFill="1" applyAlignment="1">
      <alignment horizontal="center" vertical="center"/>
    </xf>
    <xf numFmtId="0" fontId="4" fillId="10" borderId="0" xfId="23" applyFont="1" applyFill="1" applyAlignment="1">
      <alignment horizontal="center" vertical="center"/>
    </xf>
    <xf numFmtId="0" fontId="4" fillId="0" borderId="0" xfId="23" applyFont="1" applyAlignment="1">
      <alignment horizontal="left" vertical="center"/>
    </xf>
    <xf numFmtId="0" fontId="4" fillId="0" borderId="0" xfId="23" applyFont="1" applyAlignment="1">
      <alignment horizontal="center" vertical="center"/>
    </xf>
    <xf numFmtId="49" fontId="4" fillId="11" borderId="0" xfId="67" applyNumberFormat="1" applyFont="1" applyFill="1" applyAlignment="1">
      <alignment horizontal="center" vertical="center"/>
    </xf>
    <xf numFmtId="0" fontId="4" fillId="0" borderId="6" xfId="67" applyFont="1" applyBorder="1" applyAlignment="1">
      <alignment horizontal="center" vertical="center"/>
    </xf>
    <xf numFmtId="0" fontId="2" fillId="0" borderId="7" xfId="67" applyFont="1" applyBorder="1" applyAlignment="1">
      <alignment horizontal="center" vertical="center"/>
    </xf>
    <xf numFmtId="49" fontId="4" fillId="12" borderId="7" xfId="67" applyNumberFormat="1" applyFont="1" applyFill="1" applyBorder="1" applyAlignment="1">
      <alignment horizontal="center" vertical="center"/>
    </xf>
    <xf numFmtId="0" fontId="4" fillId="0" borderId="7" xfId="67" applyFont="1" applyBorder="1" applyAlignment="1">
      <alignment horizontal="left" vertical="center"/>
    </xf>
    <xf numFmtId="0" fontId="16" fillId="0" borderId="7" xfId="67" applyFont="1" applyBorder="1" applyAlignment="1">
      <alignment horizontal="left" vertical="center"/>
    </xf>
    <xf numFmtId="0" fontId="4" fillId="13" borderId="7" xfId="67" applyFont="1" applyFill="1" applyBorder="1" applyAlignment="1">
      <alignment horizontal="center" vertical="center"/>
    </xf>
    <xf numFmtId="0" fontId="4" fillId="14" borderId="7" xfId="23" applyFont="1" applyFill="1" applyBorder="1" applyAlignment="1">
      <alignment horizontal="center" vertical="center"/>
    </xf>
    <xf numFmtId="0" fontId="4" fillId="0" borderId="7" xfId="23" applyFont="1" applyBorder="1" applyAlignment="1">
      <alignment horizontal="left" vertical="center"/>
    </xf>
    <xf numFmtId="0" fontId="4" fillId="0" borderId="7" xfId="23" applyFont="1" applyBorder="1" applyAlignment="1">
      <alignment horizontal="center" vertical="center"/>
    </xf>
    <xf numFmtId="0" fontId="16" fillId="0" borderId="7" xfId="23" applyFont="1" applyBorder="1" applyAlignment="1">
      <alignment horizontal="left" vertical="center"/>
    </xf>
    <xf numFmtId="183" fontId="4" fillId="0" borderId="7" xfId="67" applyNumberFormat="1" applyFont="1" applyBorder="1" applyAlignment="1">
      <alignment horizontal="center" vertical="center"/>
    </xf>
    <xf numFmtId="0" fontId="4" fillId="0" borderId="37" xfId="67" applyFont="1" applyBorder="1" applyAlignment="1">
      <alignment horizontal="center" vertical="center"/>
    </xf>
    <xf numFmtId="0" fontId="9" fillId="0" borderId="0" xfId="67" applyFont="1" applyAlignment="1">
      <alignment horizontal="left" vertical="center"/>
    </xf>
    <xf numFmtId="0" fontId="24" fillId="0" borderId="0" xfId="67" applyFont="1" applyAlignment="1">
      <alignment horizontal="center" vertical="center"/>
    </xf>
    <xf numFmtId="0" fontId="9" fillId="0" borderId="0" xfId="67" applyFont="1" applyAlignment="1">
      <alignment vertical="center" wrapText="1"/>
    </xf>
    <xf numFmtId="0" fontId="4" fillId="4" borderId="15" xfId="67" applyFont="1" applyFill="1" applyBorder="1" applyAlignment="1">
      <alignment horizontal="center" vertical="center" wrapText="1"/>
    </xf>
    <xf numFmtId="0" fontId="4" fillId="0" borderId="38" xfId="67" applyFont="1" applyBorder="1" applyAlignment="1">
      <alignment horizontal="center" vertical="center" wrapText="1"/>
    </xf>
    <xf numFmtId="184" fontId="4" fillId="0" borderId="21" xfId="67" applyNumberFormat="1" applyFont="1" applyBorder="1" applyAlignment="1">
      <alignment horizontal="center" vertical="center" wrapText="1"/>
    </xf>
    <xf numFmtId="185" fontId="4" fillId="0" borderId="30" xfId="67" applyNumberFormat="1" applyFont="1" applyBorder="1" applyAlignment="1">
      <alignment vertical="center" wrapText="1"/>
    </xf>
    <xf numFmtId="185" fontId="4" fillId="0" borderId="30" xfId="67" applyNumberFormat="1" applyFont="1" applyBorder="1" applyAlignment="1">
      <alignment horizontal="center" vertical="center" wrapText="1"/>
    </xf>
    <xf numFmtId="183" fontId="4" fillId="0" borderId="31" xfId="67" applyNumberFormat="1" applyFont="1" applyBorder="1" applyAlignment="1">
      <alignment horizontal="center" vertical="center" wrapText="1"/>
    </xf>
    <xf numFmtId="0" fontId="7" fillId="0" borderId="30" xfId="67" applyFont="1" applyBorder="1" applyAlignment="1">
      <alignment horizontal="center" vertical="center"/>
    </xf>
    <xf numFmtId="183" fontId="4" fillId="0" borderId="32" xfId="67" applyNumberFormat="1" applyFont="1" applyBorder="1" applyAlignment="1">
      <alignment horizontal="center" vertical="center" wrapText="1"/>
    </xf>
    <xf numFmtId="0" fontId="4" fillId="0" borderId="39" xfId="23" applyFont="1" applyBorder="1" applyAlignment="1">
      <alignment horizontal="center" vertical="center"/>
    </xf>
    <xf numFmtId="0" fontId="4" fillId="0" borderId="40" xfId="23" applyFont="1" applyBorder="1" applyAlignment="1">
      <alignment horizontal="center" vertical="center" wrapText="1"/>
    </xf>
    <xf numFmtId="49" fontId="4" fillId="0" borderId="41" xfId="23" applyNumberFormat="1" applyFont="1" applyBorder="1" applyAlignment="1">
      <alignment horizontal="center" vertical="center" wrapText="1"/>
    </xf>
    <xf numFmtId="0" fontId="4" fillId="0" borderId="41" xfId="23" applyFont="1" applyBorder="1" applyAlignment="1">
      <alignment horizontal="center" vertical="center" wrapText="1"/>
    </xf>
    <xf numFmtId="0" fontId="4" fillId="0" borderId="42" xfId="23" applyFont="1" applyBorder="1" applyAlignment="1">
      <alignment horizontal="center" vertical="center" wrapText="1"/>
    </xf>
    <xf numFmtId="0" fontId="4" fillId="0" borderId="42" xfId="23" applyFont="1" applyBorder="1" applyAlignment="1">
      <alignment horizontal="center" vertical="center"/>
    </xf>
    <xf numFmtId="0" fontId="25" fillId="0" borderId="39" xfId="67" applyFont="1" applyBorder="1" applyAlignment="1">
      <alignment horizontal="center" vertical="center" wrapText="1"/>
    </xf>
    <xf numFmtId="0" fontId="25" fillId="0" borderId="41" xfId="67" applyFont="1" applyBorder="1" applyAlignment="1">
      <alignment horizontal="center" vertical="center" wrapText="1"/>
    </xf>
    <xf numFmtId="0" fontId="25" fillId="0" borderId="43" xfId="67" applyFont="1" applyBorder="1" applyAlignment="1">
      <alignment horizontal="center" vertical="center" wrapText="1"/>
    </xf>
    <xf numFmtId="0" fontId="4" fillId="0" borderId="41" xfId="67" applyFont="1" applyBorder="1" applyAlignment="1">
      <alignment horizontal="center" vertical="center" wrapText="1"/>
    </xf>
    <xf numFmtId="183" fontId="4" fillId="0" borderId="30" xfId="67" applyNumberFormat="1" applyFont="1" applyBorder="1" applyAlignment="1">
      <alignment horizontal="center" vertical="center" wrapText="1"/>
    </xf>
    <xf numFmtId="0" fontId="4" fillId="0" borderId="40" xfId="67" applyFont="1" applyBorder="1" applyAlignment="1">
      <alignment horizontal="center" vertical="center" wrapText="1"/>
    </xf>
    <xf numFmtId="0" fontId="4" fillId="0" borderId="43" xfId="67" applyFont="1" applyBorder="1" applyAlignment="1">
      <alignment horizontal="center" vertical="center" wrapText="1"/>
    </xf>
    <xf numFmtId="0" fontId="4" fillId="0" borderId="39" xfId="67" applyFont="1" applyBorder="1" applyAlignment="1">
      <alignment horizontal="center" vertical="center"/>
    </xf>
    <xf numFmtId="0" fontId="4" fillId="0" borderId="41" xfId="67" applyFont="1" applyBorder="1" applyAlignment="1">
      <alignment horizontal="center" vertical="center"/>
    </xf>
    <xf numFmtId="0" fontId="4" fillId="0" borderId="43" xfId="67" applyFont="1" applyBorder="1" applyAlignment="1">
      <alignment horizontal="center" vertical="center"/>
    </xf>
    <xf numFmtId="0" fontId="4" fillId="0" borderId="39" xfId="67" applyFont="1" applyBorder="1" applyAlignment="1">
      <alignment horizontal="center" vertical="center" wrapText="1"/>
    </xf>
    <xf numFmtId="0" fontId="4" fillId="5" borderId="44" xfId="67" applyFont="1" applyFill="1" applyBorder="1" applyAlignment="1">
      <alignment horizontal="center" vertical="center"/>
    </xf>
    <xf numFmtId="0" fontId="18" fillId="0" borderId="0" xfId="67" applyFont="1" applyAlignment="1">
      <alignment horizontal="left" vertical="center"/>
    </xf>
    <xf numFmtId="0" fontId="18" fillId="0" borderId="0" xfId="67" applyFont="1" applyAlignment="1">
      <alignment horizontal="center" vertical="center" wrapText="1"/>
    </xf>
    <xf numFmtId="0" fontId="11" fillId="0" borderId="0" xfId="67" applyFont="1" applyAlignment="1">
      <alignment horizontal="right" vertical="center"/>
    </xf>
    <xf numFmtId="0" fontId="13" fillId="0" borderId="3" xfId="67" applyFont="1" applyBorder="1" applyAlignment="1">
      <alignment horizontal="center" vertical="center"/>
    </xf>
    <xf numFmtId="0" fontId="13" fillId="0" borderId="3" xfId="67" applyFont="1" applyBorder="1" applyAlignment="1">
      <alignment horizontal="right" vertical="center"/>
    </xf>
    <xf numFmtId="0" fontId="14" fillId="0" borderId="4" xfId="67" applyFont="1" applyBorder="1" applyAlignment="1">
      <alignment horizontal="left" vertical="center"/>
    </xf>
    <xf numFmtId="0" fontId="16" fillId="0" borderId="14" xfId="67" applyFont="1" applyBorder="1" applyAlignment="1">
      <alignment horizontal="center" vertical="center"/>
    </xf>
    <xf numFmtId="0" fontId="4" fillId="0" borderId="13" xfId="67" applyFont="1" applyBorder="1" applyAlignment="1">
      <alignment horizontal="center" vertical="center"/>
    </xf>
    <xf numFmtId="0" fontId="4" fillId="0" borderId="11" xfId="67" applyFont="1" applyBorder="1" applyAlignment="1">
      <alignment horizontal="center" vertical="center"/>
    </xf>
    <xf numFmtId="0" fontId="4" fillId="0" borderId="12" xfId="67" applyFont="1" applyBorder="1" applyAlignment="1">
      <alignment horizontal="center" vertical="center" wrapText="1"/>
    </xf>
    <xf numFmtId="0" fontId="4" fillId="0" borderId="13" xfId="67" applyFont="1" applyBorder="1" applyAlignment="1">
      <alignment horizontal="center" vertical="center" wrapText="1"/>
    </xf>
    <xf numFmtId="0" fontId="4" fillId="0" borderId="11" xfId="67" applyFont="1" applyBorder="1" applyAlignment="1">
      <alignment horizontal="center" vertical="center" wrapText="1"/>
    </xf>
    <xf numFmtId="0" fontId="20" fillId="0" borderId="0" xfId="67" applyFont="1" applyAlignment="1">
      <alignment horizontal="center" vertical="center" wrapText="1"/>
    </xf>
    <xf numFmtId="0" fontId="4" fillId="0" borderId="0" xfId="67" applyFont="1" applyAlignment="1">
      <alignment horizontal="center" vertical="center"/>
    </xf>
    <xf numFmtId="0" fontId="4" fillId="0" borderId="9" xfId="67" applyFont="1" applyBorder="1" applyAlignment="1">
      <alignment horizontal="center" vertical="center" wrapText="1"/>
    </xf>
    <xf numFmtId="0" fontId="4" fillId="0" borderId="19" xfId="67" applyFont="1" applyBorder="1" applyAlignment="1">
      <alignment horizontal="center" vertical="center" wrapText="1"/>
    </xf>
    <xf numFmtId="49" fontId="16" fillId="0" borderId="10" xfId="67" applyNumberFormat="1" applyFont="1" applyBorder="1" applyAlignment="1">
      <alignment horizontal="center" vertical="center" wrapText="1"/>
    </xf>
    <xf numFmtId="49" fontId="4" fillId="0" borderId="20" xfId="67" applyNumberFormat="1" applyFont="1" applyBorder="1" applyAlignment="1">
      <alignment horizontal="center" vertical="center" wrapText="1"/>
    </xf>
    <xf numFmtId="0" fontId="4" fillId="0" borderId="10" xfId="67" applyFont="1" applyBorder="1" applyAlignment="1">
      <alignment horizontal="center" vertical="center" wrapText="1"/>
    </xf>
    <xf numFmtId="0" fontId="4" fillId="0" borderId="20" xfId="67" applyFont="1" applyBorder="1" applyAlignment="1">
      <alignment horizontal="center" vertical="center" wrapText="1"/>
    </xf>
    <xf numFmtId="0" fontId="16" fillId="0" borderId="10" xfId="67" applyFont="1" applyBorder="1" applyAlignment="1">
      <alignment horizontal="center" vertical="center" wrapText="1"/>
    </xf>
    <xf numFmtId="183" fontId="17" fillId="0" borderId="12" xfId="67" applyNumberFormat="1" applyFont="1" applyBorder="1" applyAlignment="1">
      <alignment horizontal="center" vertical="center" textRotation="255"/>
    </xf>
    <xf numFmtId="183" fontId="17" fillId="0" borderId="21" xfId="67" applyNumberFormat="1" applyFont="1" applyBorder="1" applyAlignment="1">
      <alignment horizontal="center" vertical="center" textRotation="255"/>
    </xf>
    <xf numFmtId="183" fontId="17" fillId="0" borderId="13" xfId="67" applyNumberFormat="1" applyFont="1" applyBorder="1" applyAlignment="1">
      <alignment horizontal="center" vertical="center" textRotation="255"/>
    </xf>
    <xf numFmtId="183" fontId="17" fillId="0" borderId="30" xfId="67" applyNumberFormat="1" applyFont="1" applyBorder="1" applyAlignment="1">
      <alignment horizontal="center" vertical="center" textRotation="255"/>
    </xf>
    <xf numFmtId="183" fontId="18" fillId="0" borderId="11" xfId="67" applyNumberFormat="1" applyFont="1" applyBorder="1" applyAlignment="1">
      <alignment horizontal="center" vertical="center" textRotation="255"/>
    </xf>
    <xf numFmtId="183" fontId="17" fillId="0" borderId="32" xfId="67" applyNumberFormat="1" applyFont="1" applyBorder="1" applyAlignment="1">
      <alignment horizontal="center" vertical="center" textRotation="255"/>
    </xf>
    <xf numFmtId="0" fontId="16" fillId="5" borderId="17" xfId="67" applyFont="1" applyFill="1" applyBorder="1" applyAlignment="1">
      <alignment horizontal="center" vertical="center" wrapText="1"/>
    </xf>
    <xf numFmtId="0" fontId="4" fillId="5" borderId="27" xfId="67" applyFont="1" applyFill="1" applyBorder="1" applyAlignment="1">
      <alignment horizontal="center" vertical="center" wrapText="1"/>
    </xf>
    <xf numFmtId="0" fontId="19" fillId="0" borderId="18" xfId="67" applyFont="1" applyBorder="1" applyAlignment="1">
      <alignment horizontal="center" vertical="center" wrapText="1"/>
    </xf>
    <xf numFmtId="0" fontId="19" fillId="0" borderId="28" xfId="67" applyFont="1" applyBorder="1" applyAlignment="1">
      <alignment horizontal="center" vertical="center" wrapText="1"/>
    </xf>
    <xf numFmtId="49" fontId="67" fillId="0" borderId="30" xfId="23" applyNumberFormat="1" applyFont="1" applyBorder="1" applyAlignment="1">
      <alignment horizontal="center" vertical="center" wrapText="1"/>
    </xf>
  </cellXfs>
  <cellStyles count="70">
    <cellStyle name="_高德09年9月工资表" xfId="9" xr:uid="{00000000-0005-0000-0000-000039000000}"/>
    <cellStyle name="_广州社保增员2007" xfId="19" xr:uid="{00000000-0005-0000-0000-000043000000}"/>
    <cellStyle name="C00A" xfId="5" xr:uid="{00000000-0005-0000-0000-000035000000}"/>
    <cellStyle name="C00B" xfId="10" xr:uid="{00000000-0005-0000-0000-00003A000000}"/>
    <cellStyle name="C00L" xfId="21" xr:uid="{00000000-0005-0000-0000-000045000000}"/>
    <cellStyle name="C01A 2" xfId="6" xr:uid="{00000000-0005-0000-0000-000036000000}"/>
    <cellStyle name="C01B" xfId="13" xr:uid="{00000000-0005-0000-0000-00003D000000}"/>
    <cellStyle name="C01H" xfId="1" xr:uid="{00000000-0005-0000-0000-000031000000}"/>
    <cellStyle name="C01L" xfId="24" xr:uid="{00000000-0005-0000-0000-000048000000}"/>
    <cellStyle name="C02A 2" xfId="2" xr:uid="{00000000-0005-0000-0000-000032000000}"/>
    <cellStyle name="C02B" xfId="22" xr:uid="{00000000-0005-0000-0000-000046000000}"/>
    <cellStyle name="C02H" xfId="12" xr:uid="{00000000-0005-0000-0000-00003C000000}"/>
    <cellStyle name="C02L" xfId="18" xr:uid="{00000000-0005-0000-0000-000042000000}"/>
    <cellStyle name="C03A" xfId="25" xr:uid="{00000000-0005-0000-0000-000049000000}"/>
    <cellStyle name="C03H" xfId="26" xr:uid="{00000000-0005-0000-0000-00004A000000}"/>
    <cellStyle name="C03L" xfId="27" xr:uid="{00000000-0005-0000-0000-00004B000000}"/>
    <cellStyle name="C04A" xfId="28" xr:uid="{00000000-0005-0000-0000-00004C000000}"/>
    <cellStyle name="C04B" xfId="17" xr:uid="{00000000-0005-0000-0000-000041000000}"/>
    <cellStyle name="C04H" xfId="29" xr:uid="{00000000-0005-0000-0000-00004D000000}"/>
    <cellStyle name="C04L" xfId="30" xr:uid="{00000000-0005-0000-0000-00004E000000}"/>
    <cellStyle name="C05A" xfId="31" xr:uid="{00000000-0005-0000-0000-00004F000000}"/>
    <cellStyle name="C05H" xfId="32" xr:uid="{00000000-0005-0000-0000-000050000000}"/>
    <cellStyle name="C05L" xfId="34" xr:uid="{00000000-0005-0000-0000-000052000000}"/>
    <cellStyle name="C06A" xfId="35" xr:uid="{00000000-0005-0000-0000-000053000000}"/>
    <cellStyle name="C06H" xfId="36" xr:uid="{00000000-0005-0000-0000-000054000000}"/>
    <cellStyle name="C06L" xfId="37" xr:uid="{00000000-0005-0000-0000-000055000000}"/>
    <cellStyle name="C07A" xfId="38" xr:uid="{00000000-0005-0000-0000-000056000000}"/>
    <cellStyle name="C07H" xfId="39" xr:uid="{00000000-0005-0000-0000-000057000000}"/>
    <cellStyle name="C07L" xfId="40" xr:uid="{00000000-0005-0000-0000-000058000000}"/>
    <cellStyle name="Comma_AP Payment Request Form" xfId="33" xr:uid="{00000000-0005-0000-0000-000051000000}"/>
    <cellStyle name="KPMG Heading 1" xfId="42" xr:uid="{00000000-0005-0000-0000-00005A000000}"/>
    <cellStyle name="KPMG Heading 2" xfId="44" xr:uid="{00000000-0005-0000-0000-00005C000000}"/>
    <cellStyle name="KPMG Heading 3" xfId="45" xr:uid="{00000000-0005-0000-0000-00005D000000}"/>
    <cellStyle name="KPMG Heading 4" xfId="46" xr:uid="{00000000-0005-0000-0000-00005E000000}"/>
    <cellStyle name="KPMG Normal" xfId="47" xr:uid="{00000000-0005-0000-0000-00005F000000}"/>
    <cellStyle name="Normal - Style1" xfId="49" xr:uid="{00000000-0005-0000-0000-000061000000}"/>
    <cellStyle name="Normal_AR 2009-10-31" xfId="50" xr:uid="{00000000-0005-0000-0000-000062000000}"/>
    <cellStyle name="nPloded" xfId="51" xr:uid="{00000000-0005-0000-0000-000063000000}"/>
    <cellStyle name="PSChar" xfId="16" xr:uid="{00000000-0005-0000-0000-000040000000}"/>
    <cellStyle name="PSDec" xfId="53" xr:uid="{00000000-0005-0000-0000-000065000000}"/>
    <cellStyle name="R00A" xfId="54" xr:uid="{00000000-0005-0000-0000-000066000000}"/>
    <cellStyle name="R00B" xfId="55" xr:uid="{00000000-0005-0000-0000-000067000000}"/>
    <cellStyle name="R00L" xfId="57" xr:uid="{00000000-0005-0000-0000-000069000000}"/>
    <cellStyle name="R01A 2" xfId="14" xr:uid="{00000000-0005-0000-0000-00003E000000}"/>
    <cellStyle name="R01B" xfId="58" xr:uid="{00000000-0005-0000-0000-00006A000000}"/>
    <cellStyle name="R01H" xfId="52" xr:uid="{00000000-0005-0000-0000-000064000000}"/>
    <cellStyle name="R01L 2" xfId="8" xr:uid="{00000000-0005-0000-0000-000038000000}"/>
    <cellStyle name="R02A" xfId="60" xr:uid="{00000000-0005-0000-0000-00006C000000}"/>
    <cellStyle name="R02B" xfId="56" xr:uid="{00000000-0005-0000-0000-000068000000}"/>
    <cellStyle name="R02H 2" xfId="4" xr:uid="{00000000-0005-0000-0000-000034000000}"/>
    <cellStyle name="R02L" xfId="62" xr:uid="{00000000-0005-0000-0000-00006E000000}"/>
    <cellStyle name="R03A" xfId="63" xr:uid="{00000000-0005-0000-0000-00006F000000}"/>
    <cellStyle name="R03B" xfId="59" xr:uid="{00000000-0005-0000-0000-00006B000000}"/>
    <cellStyle name="R03H" xfId="64" xr:uid="{00000000-0005-0000-0000-000070000000}"/>
    <cellStyle name="R03L" xfId="65" xr:uid="{00000000-0005-0000-0000-000071000000}"/>
    <cellStyle name="R04B" xfId="61" xr:uid="{00000000-0005-0000-0000-00006D000000}"/>
    <cellStyle name="R04H" xfId="66" xr:uid="{00000000-0005-0000-0000-000072000000}"/>
    <cellStyle name="R05A" xfId="3" xr:uid="{00000000-0005-0000-0000-000033000000}"/>
    <cellStyle name="R06A 2" xfId="7" xr:uid="{00000000-0005-0000-0000-000037000000}"/>
    <cellStyle name="R06H" xfId="48" xr:uid="{00000000-0005-0000-0000-000060000000}"/>
    <cellStyle name="R06L" xfId="41" xr:uid="{00000000-0005-0000-0000-000059000000}"/>
    <cellStyle name="R07A" xfId="20" xr:uid="{00000000-0005-0000-0000-000044000000}"/>
    <cellStyle name="R07H" xfId="43" xr:uid="{00000000-0005-0000-0000-00005B000000}"/>
    <cellStyle name="R07L" xfId="11" xr:uid="{00000000-0005-0000-0000-00003B000000}"/>
    <cellStyle name="常规" xfId="0" builtinId="0"/>
    <cellStyle name="常规 2" xfId="67" xr:uid="{00000000-0005-0000-0000-000073000000}"/>
    <cellStyle name="常规 4 2" xfId="68" xr:uid="{00000000-0005-0000-0000-000074000000}"/>
    <cellStyle name="常规 8" xfId="69" xr:uid="{00000000-0005-0000-0000-000075000000}"/>
    <cellStyle name="常规_Sheet1" xfId="23" xr:uid="{00000000-0005-0000-0000-000047000000}"/>
    <cellStyle name="千位分隔[0] 2" xfId="15" xr:uid="{00000000-0005-0000-0000-00003F000000}"/>
  </cellStyles>
  <dxfs count="140"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ill>
        <patternFill patternType="solid">
          <bgColor theme="9" tint="-0.24994659260841701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rgb="FF92D050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rgb="FF92D050"/>
        </patternFill>
      </fill>
    </dxf>
    <dxf>
      <font>
        <color rgb="FFC00000"/>
      </font>
      <fill>
        <patternFill patternType="solid">
          <bgColor rgb="FFFFCCCC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theme="3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ont>
        <color rgb="FFFF0000"/>
      </font>
    </dxf>
    <dxf>
      <font>
        <color rgb="FFC00000"/>
      </font>
      <fill>
        <patternFill patternType="solid">
          <bgColor rgb="FFFFCCCC"/>
        </patternFill>
      </fill>
    </dxf>
    <dxf>
      <font>
        <color rgb="FF008000"/>
      </font>
    </dxf>
    <dxf>
      <fill>
        <patternFill patternType="solid">
          <bgColor theme="9" tint="-0.24994659260841701"/>
        </patternFill>
      </fill>
    </dxf>
    <dxf>
      <fill>
        <patternFill patternType="solid">
          <bgColor theme="3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  <fill>
        <patternFill patternType="solid">
          <bgColor theme="5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7" tint="0.59999389629810485"/>
        </patternFill>
      </fill>
    </dxf>
    <dxf>
      <font>
        <color rgb="FFFF0000"/>
      </font>
      <fill>
        <patternFill patternType="solid">
          <bgColor theme="5" tint="0.79998168889431442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rgb="FFFF0000"/>
      </font>
    </dxf>
    <dxf>
      <font>
        <color rgb="FF008000"/>
      </font>
    </dxf>
    <dxf>
      <fill>
        <patternFill patternType="solid">
          <bgColor rgb="FF92D05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ill>
        <patternFill patternType="solid">
          <bgColor theme="3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ill>
        <patternFill patternType="solid">
          <bgColor rgb="FF92D050"/>
        </patternFill>
      </fill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ont>
        <color rgb="FFFF0000"/>
      </font>
    </dxf>
    <dxf>
      <font>
        <color rgb="FF008000"/>
      </font>
    </dxf>
    <dxf>
      <fill>
        <patternFill patternType="solid">
          <bgColor theme="3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3" tint="0.59996337778862885"/>
        </patternFill>
      </fill>
    </dxf>
    <dxf>
      <fill>
        <patternFill patternType="solid">
          <bgColor rgb="FF92D050"/>
        </patternFill>
      </fill>
    </dxf>
    <dxf>
      <font>
        <color rgb="FF008000"/>
      </font>
    </dxf>
    <dxf>
      <font>
        <color rgb="FFFF0000"/>
      </font>
    </dxf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ont>
        <color rgb="FFFF0000"/>
      </font>
    </dxf>
    <dxf>
      <font>
        <color rgb="FF008000"/>
      </font>
    </dxf>
    <dxf>
      <font>
        <color rgb="FF008000"/>
      </font>
    </dxf>
    <dxf>
      <font>
        <color rgb="FFFF0000"/>
      </font>
    </dxf>
    <dxf>
      <fill>
        <patternFill patternType="solid">
          <bgColor theme="3" tint="0.59996337778862885"/>
        </patternFill>
      </fill>
    </dxf>
    <dxf>
      <font>
        <color rgb="FFC00000"/>
      </font>
      <fill>
        <patternFill patternType="solid">
          <bgColor rgb="FFFFCCCC"/>
        </patternFill>
      </fill>
    </dxf>
    <dxf>
      <font>
        <b val="0"/>
        <i val="0"/>
        <color auto="1"/>
      </font>
      <fill>
        <patternFill patternType="solid">
          <bgColor theme="9" tint="0.59996337778862885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rgb="FF92D050"/>
        </patternFill>
      </fill>
    </dxf>
    <dxf>
      <font>
        <color rgb="FF008000"/>
      </font>
    </dxf>
    <dxf>
      <font>
        <color rgb="FFFF0000"/>
      </font>
    </dxf>
  </dxfs>
  <tableStyles count="0" defaultTableStyle="TableStyleMedium2"/>
  <colors>
    <mruColors>
      <color rgb="FFFF9999"/>
      <color rgb="FFFFFF99"/>
      <color rgb="FFCCFFCC"/>
      <color rgb="FFCCFFFF"/>
      <color rgb="FFC0C0C0"/>
      <color rgb="FFC00000"/>
      <color rgb="FFFFCCCC"/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107950</xdr:colOff>
      <xdr:row>29</xdr:row>
      <xdr:rowOff>211455</xdr:rowOff>
    </xdr:from>
    <xdr:to>
      <xdr:col>42</xdr:col>
      <xdr:colOff>166370</xdr:colOff>
      <xdr:row>34</xdr:row>
      <xdr:rowOff>230505</xdr:rowOff>
    </xdr:to>
    <xdr:sp macro="" textlink="">
      <xdr:nvSpPr>
        <xdr:cNvPr id="5" name="线形标注 2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228195" y="8513445"/>
          <a:ext cx="1478915" cy="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216285"/>
            <a:gd name="adj6" fmla="val -56651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请各部门根据部门实际情况，填充上班时间及用餐时间</a:t>
          </a:r>
        </a:p>
      </xdr:txBody>
    </xdr:sp>
    <xdr:clientData/>
  </xdr:twoCellAnchor>
  <xdr:twoCellAnchor>
    <xdr:from>
      <xdr:col>10</xdr:col>
      <xdr:colOff>124460</xdr:colOff>
      <xdr:row>40</xdr:row>
      <xdr:rowOff>193675</xdr:rowOff>
    </xdr:from>
    <xdr:to>
      <xdr:col>15</xdr:col>
      <xdr:colOff>236855</xdr:colOff>
      <xdr:row>40</xdr:row>
      <xdr:rowOff>193675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949825" y="9519920"/>
          <a:ext cx="14014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153035</xdr:colOff>
      <xdr:row>40</xdr:row>
      <xdr:rowOff>193675</xdr:rowOff>
    </xdr:from>
    <xdr:to>
      <xdr:col>52</xdr:col>
      <xdr:colOff>55880</xdr:colOff>
      <xdr:row>40</xdr:row>
      <xdr:rowOff>193675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15316200" y="9519920"/>
          <a:ext cx="16852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286385</xdr:colOff>
      <xdr:row>40</xdr:row>
      <xdr:rowOff>193675</xdr:rowOff>
    </xdr:from>
    <xdr:to>
      <xdr:col>4</xdr:col>
      <xdr:colOff>524510</xdr:colOff>
      <xdr:row>40</xdr:row>
      <xdr:rowOff>193675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1334770" y="9519920"/>
          <a:ext cx="14014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38735</xdr:colOff>
      <xdr:row>40</xdr:row>
      <xdr:rowOff>193675</xdr:rowOff>
    </xdr:from>
    <xdr:to>
      <xdr:col>27</xdr:col>
      <xdr:colOff>74930</xdr:colOff>
      <xdr:row>40</xdr:row>
      <xdr:rowOff>193675</xdr:rowOff>
    </xdr:to>
    <xdr:cxnSp macro="">
      <xdr:nvCxnSpPr>
        <xdr:cNvPr id="15" name="直接连接符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7957820" y="9519920"/>
          <a:ext cx="14014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67310</xdr:colOff>
      <xdr:row>40</xdr:row>
      <xdr:rowOff>193675</xdr:rowOff>
    </xdr:from>
    <xdr:to>
      <xdr:col>40</xdr:col>
      <xdr:colOff>333375</xdr:colOff>
      <xdr:row>40</xdr:row>
      <xdr:rowOff>193675</xdr:rowOff>
    </xdr:to>
    <xdr:cxnSp macro="">
      <xdr:nvCxnSpPr>
        <xdr:cNvPr id="16" name="直接连接符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11414125" y="9519920"/>
          <a:ext cx="176403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LIL544\GLDATA\Share\Asia\Operating%20Review\Q2'2004\Hong%20Kong\Q2'04_OpReview%20Pack1_HKG%20(xls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\Asia\Operating%20Review\2006\Q2'2006\Guangzhou\Q2'06%20OpReview_GZU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perty%20Management\Finance%20file\PAM%20Branch\Expense%20Statement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12&#32771;&#21220;&#25991;&#20214;\202012&#23433;&#38450;\&#23433;&#38450;&#37096;-2020&#24180;12&#26376;&#20221;&#32771;&#21220;&#65288;&#26680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Data"/>
      <sheetName val="Reference"/>
      <sheetName val="EarnStm"/>
      <sheetName val="EarnStm (YTD Plan)"/>
      <sheetName val="EarnStm (YTD LY)"/>
      <sheetName val="Rev (BU)"/>
      <sheetName val="Rev_HL"/>
      <sheetName val="Exp Var"/>
      <sheetName val="PGOI_HL"/>
      <sheetName val="AR"/>
      <sheetName val="AR Graphs"/>
      <sheetName val="HC Ratio"/>
      <sheetName val="HC"/>
      <sheetName val="HC (BL)"/>
      <sheetName val="Ref"/>
      <sheetName val="AP"/>
      <sheetName val="SGP"/>
      <sheetName val="Vendor List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EarnStm"/>
      <sheetName val="AR"/>
      <sheetName val="Chart Data"/>
      <sheetName val="R&amp;O"/>
      <sheetName val="Headcount"/>
      <sheetName val="Target"/>
      <sheetName val="Rev by BL"/>
      <sheetName val="PGOI by BL"/>
      <sheetName val="Exp Variance"/>
      <sheetName val="R&amp;O by BL"/>
      <sheetName val="C&amp;B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ense Statement"/>
      <sheetName val="StaffList"/>
      <sheetName val="MapParm"/>
      <sheetName val="Ref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安防-北区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U66"/>
  <sheetViews>
    <sheetView tabSelected="1" view="pageBreakPreview" zoomScale="115" zoomScaleNormal="100" workbookViewId="0">
      <pane xSplit="7" ySplit="6" topLeftCell="AF22" activePane="bottomRight" state="frozen"/>
      <selection pane="topRight"/>
      <selection pane="bottomLeft"/>
      <selection pane="bottomRight" activeCell="E39" sqref="E39"/>
    </sheetView>
  </sheetViews>
  <sheetFormatPr defaultColWidth="9" defaultRowHeight="10.35"/>
  <cols>
    <col min="1" max="1" width="3.3515625" style="11" customWidth="1"/>
    <col min="2" max="2" width="10.3515625" style="12" customWidth="1"/>
    <col min="3" max="3" width="6.87890625" style="13" customWidth="1"/>
    <col min="4" max="5" width="8.3515625" style="12" customWidth="1"/>
    <col min="6" max="6" width="7.87890625" style="12" customWidth="1"/>
    <col min="7" max="7" width="7.87890625" style="2" customWidth="1"/>
    <col min="8" max="10" width="3.3515625" style="14" customWidth="1"/>
    <col min="11" max="25" width="3.3515625" style="2" customWidth="1"/>
    <col min="26" max="26" width="3.3515625" style="14" customWidth="1"/>
    <col min="27" max="27" width="4.3515625" style="2" customWidth="1"/>
    <col min="28" max="38" width="3.3515625" style="2" customWidth="1"/>
    <col min="39" max="39" width="5.87890625" style="15" customWidth="1"/>
    <col min="40" max="40" width="4.76171875" style="15" customWidth="1"/>
    <col min="41" max="41" width="3.234375" style="15" customWidth="1"/>
    <col min="42" max="43" width="4.76171875" style="15" customWidth="1"/>
    <col min="44" max="46" width="4.1171875" style="2" customWidth="1"/>
    <col min="47" max="47" width="4.1171875" style="16" customWidth="1"/>
    <col min="48" max="48" width="4.1171875" style="2" customWidth="1"/>
    <col min="49" max="51" width="4.87890625" style="2" customWidth="1"/>
    <col min="52" max="52" width="4.64453125" style="2" customWidth="1"/>
    <col min="53" max="54" width="5" style="2" customWidth="1"/>
    <col min="55" max="56" width="4.3515625" style="2" customWidth="1"/>
    <col min="57" max="57" width="16" style="2" customWidth="1"/>
    <col min="58" max="58" width="6.3515625" style="17" customWidth="1"/>
    <col min="59" max="59" width="3" style="2" customWidth="1"/>
    <col min="60" max="62" width="3.3515625" style="2" customWidth="1"/>
    <col min="63" max="73" width="3" style="2" customWidth="1"/>
    <col min="74" max="16384" width="9" style="2"/>
  </cols>
  <sheetData>
    <row r="1" spans="1:73" s="1" customFormat="1" ht="26.25" customHeight="1">
      <c r="B1" s="18"/>
      <c r="C1" s="19"/>
      <c r="D1" s="18" t="s">
        <v>0</v>
      </c>
      <c r="E1" s="18"/>
      <c r="F1" s="18"/>
      <c r="G1" s="20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165" t="str">
        <f ca="1">YEAR(TODAY())&amp;"年"</f>
        <v>2026年</v>
      </c>
      <c r="X1" s="165"/>
      <c r="Y1" s="165"/>
      <c r="Z1" s="165"/>
      <c r="AA1" s="22">
        <v>7</v>
      </c>
      <c r="AB1" s="21" t="s">
        <v>1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3"/>
      <c r="AN1" s="23"/>
      <c r="AO1" s="23"/>
      <c r="AP1" s="23"/>
      <c r="AQ1" s="23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4"/>
    </row>
    <row r="2" spans="1:73" ht="12" customHeight="1">
      <c r="G2" s="25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8"/>
      <c r="AN2" s="28"/>
      <c r="AO2" s="28"/>
      <c r="AP2" s="28"/>
      <c r="AQ2" s="28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</row>
    <row r="3" spans="1:73" s="3" customFormat="1" ht="18" customHeight="1">
      <c r="A3" s="29"/>
      <c r="B3" s="30"/>
      <c r="C3" s="31"/>
      <c r="D3" s="30"/>
      <c r="E3" s="30"/>
      <c r="F3" s="32"/>
      <c r="G3" s="166" t="s">
        <v>2</v>
      </c>
      <c r="H3" s="167"/>
      <c r="I3" s="168" t="s">
        <v>3</v>
      </c>
      <c r="J3" s="168"/>
      <c r="K3" s="168"/>
      <c r="L3" s="168"/>
      <c r="M3" s="168"/>
      <c r="N3" s="168"/>
      <c r="O3" s="168"/>
      <c r="P3" s="168"/>
      <c r="Q3" s="33"/>
      <c r="R3" s="33"/>
      <c r="S3" s="34"/>
      <c r="T3" s="34"/>
      <c r="U3" s="35"/>
      <c r="V3" s="35"/>
      <c r="W3" s="35"/>
      <c r="X3" s="35"/>
      <c r="Y3" s="36"/>
      <c r="Z3" s="37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8"/>
      <c r="AN3" s="38"/>
      <c r="AO3" s="38"/>
      <c r="AP3" s="38"/>
      <c r="AQ3" s="38"/>
      <c r="AR3" s="39"/>
      <c r="AS3" s="39"/>
      <c r="AT3" s="39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40"/>
      <c r="BF3" s="41"/>
    </row>
    <row r="4" spans="1:73" ht="8.1" customHeight="1">
      <c r="A4" s="42"/>
      <c r="B4" s="43"/>
      <c r="C4" s="44"/>
      <c r="D4" s="43"/>
      <c r="E4" s="43"/>
      <c r="F4" s="43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6"/>
      <c r="T4" s="45"/>
      <c r="U4" s="45"/>
      <c r="V4" s="45"/>
      <c r="W4" s="45"/>
      <c r="X4" s="45"/>
      <c r="Y4" s="45"/>
      <c r="Z4" s="47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8"/>
      <c r="AN4" s="48"/>
      <c r="AO4" s="48"/>
      <c r="AP4" s="48"/>
      <c r="AQ4" s="48"/>
      <c r="AR4" s="46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25"/>
      <c r="BE4" s="49"/>
    </row>
    <row r="5" spans="1:73" s="4" customFormat="1" ht="38.25" customHeight="1">
      <c r="A5" s="177" t="s">
        <v>4</v>
      </c>
      <c r="B5" s="179" t="s">
        <v>5</v>
      </c>
      <c r="C5" s="179" t="s">
        <v>6</v>
      </c>
      <c r="D5" s="181" t="s">
        <v>7</v>
      </c>
      <c r="E5" s="183" t="s">
        <v>8</v>
      </c>
      <c r="F5" s="181" t="s">
        <v>9</v>
      </c>
      <c r="G5" s="52" t="s">
        <v>10</v>
      </c>
      <c r="H5" s="50">
        <v>1</v>
      </c>
      <c r="I5" s="51">
        <v>2</v>
      </c>
      <c r="J5" s="51">
        <v>3</v>
      </c>
      <c r="K5" s="51">
        <v>4</v>
      </c>
      <c r="L5" s="51">
        <v>5</v>
      </c>
      <c r="M5" s="51">
        <v>6</v>
      </c>
      <c r="N5" s="51">
        <v>7</v>
      </c>
      <c r="O5" s="51">
        <v>8</v>
      </c>
      <c r="P5" s="51">
        <v>9</v>
      </c>
      <c r="Q5" s="51">
        <v>10</v>
      </c>
      <c r="R5" s="51">
        <v>11</v>
      </c>
      <c r="S5" s="51">
        <v>12</v>
      </c>
      <c r="T5" s="51">
        <v>13</v>
      </c>
      <c r="U5" s="51">
        <v>14</v>
      </c>
      <c r="V5" s="51">
        <v>15</v>
      </c>
      <c r="W5" s="51">
        <v>16</v>
      </c>
      <c r="X5" s="51">
        <v>17</v>
      </c>
      <c r="Y5" s="51">
        <v>18</v>
      </c>
      <c r="Z5" s="51">
        <v>19</v>
      </c>
      <c r="AA5" s="51">
        <v>20</v>
      </c>
      <c r="AB5" s="51">
        <v>21</v>
      </c>
      <c r="AC5" s="51">
        <v>22</v>
      </c>
      <c r="AD5" s="51">
        <v>23</v>
      </c>
      <c r="AE5" s="51">
        <v>24</v>
      </c>
      <c r="AF5" s="51">
        <v>25</v>
      </c>
      <c r="AG5" s="51">
        <v>26</v>
      </c>
      <c r="AH5" s="51">
        <v>27</v>
      </c>
      <c r="AI5" s="51">
        <v>28</v>
      </c>
      <c r="AJ5" s="51">
        <v>29</v>
      </c>
      <c r="AK5" s="51">
        <v>30</v>
      </c>
      <c r="AL5" s="137">
        <v>31</v>
      </c>
      <c r="AM5" s="184" t="s">
        <v>11</v>
      </c>
      <c r="AN5" s="186" t="s">
        <v>12</v>
      </c>
      <c r="AO5" s="186" t="s">
        <v>13</v>
      </c>
      <c r="AP5" s="186" t="s">
        <v>14</v>
      </c>
      <c r="AQ5" s="188" t="s">
        <v>15</v>
      </c>
      <c r="AR5" s="169" t="s">
        <v>16</v>
      </c>
      <c r="AS5" s="170"/>
      <c r="AT5" s="170"/>
      <c r="AU5" s="170"/>
      <c r="AV5" s="171"/>
      <c r="AW5" s="172" t="s">
        <v>17</v>
      </c>
      <c r="AX5" s="173"/>
      <c r="AY5" s="173"/>
      <c r="AZ5" s="174"/>
      <c r="BA5" s="172" t="s">
        <v>18</v>
      </c>
      <c r="BB5" s="173"/>
      <c r="BC5" s="174"/>
      <c r="BD5" s="190" t="s">
        <v>19</v>
      </c>
      <c r="BE5" s="192" t="s">
        <v>20</v>
      </c>
      <c r="BF5" s="175" t="s">
        <v>21</v>
      </c>
      <c r="BG5" s="176"/>
      <c r="BH5" s="176"/>
      <c r="BI5" s="176"/>
      <c r="BJ5" s="176"/>
      <c r="BK5" s="176"/>
    </row>
    <row r="6" spans="1:73" s="4" customFormat="1" ht="63.75" customHeight="1">
      <c r="A6" s="178"/>
      <c r="B6" s="180"/>
      <c r="C6" s="180"/>
      <c r="D6" s="182"/>
      <c r="E6" s="182"/>
      <c r="F6" s="182"/>
      <c r="G6" s="138" t="s">
        <v>22</v>
      </c>
      <c r="H6" s="53" t="str">
        <f>CHOOSE(WEEKDAY("2026"&amp;-$AA$1&amp;-H5,2),"一","二","三","四","五","六","日")</f>
        <v>三</v>
      </c>
      <c r="I6" s="53" t="str">
        <f t="shared" ref="I6:AL6" si="0">CHOOSE(WEEKDAY("2026"&amp;-$AA$1&amp;-I5,2),"一","二","三","四","五","六","日")</f>
        <v>四</v>
      </c>
      <c r="J6" s="53" t="str">
        <f t="shared" si="0"/>
        <v>五</v>
      </c>
      <c r="K6" s="53" t="str">
        <f t="shared" si="0"/>
        <v>六</v>
      </c>
      <c r="L6" s="53" t="str">
        <f t="shared" si="0"/>
        <v>日</v>
      </c>
      <c r="M6" s="53" t="str">
        <f t="shared" si="0"/>
        <v>一</v>
      </c>
      <c r="N6" s="53" t="str">
        <f t="shared" si="0"/>
        <v>二</v>
      </c>
      <c r="O6" s="53" t="str">
        <f t="shared" si="0"/>
        <v>三</v>
      </c>
      <c r="P6" s="53" t="str">
        <f t="shared" si="0"/>
        <v>四</v>
      </c>
      <c r="Q6" s="53" t="str">
        <f t="shared" si="0"/>
        <v>五</v>
      </c>
      <c r="R6" s="53" t="str">
        <f t="shared" si="0"/>
        <v>六</v>
      </c>
      <c r="S6" s="53" t="str">
        <f t="shared" si="0"/>
        <v>日</v>
      </c>
      <c r="T6" s="53" t="str">
        <f t="shared" si="0"/>
        <v>一</v>
      </c>
      <c r="U6" s="53" t="str">
        <f t="shared" si="0"/>
        <v>二</v>
      </c>
      <c r="V6" s="53" t="str">
        <f t="shared" si="0"/>
        <v>三</v>
      </c>
      <c r="W6" s="53" t="str">
        <f t="shared" si="0"/>
        <v>四</v>
      </c>
      <c r="X6" s="53" t="str">
        <f t="shared" si="0"/>
        <v>五</v>
      </c>
      <c r="Y6" s="53" t="str">
        <f t="shared" si="0"/>
        <v>六</v>
      </c>
      <c r="Z6" s="53" t="str">
        <f t="shared" si="0"/>
        <v>日</v>
      </c>
      <c r="AA6" s="53" t="str">
        <f t="shared" si="0"/>
        <v>一</v>
      </c>
      <c r="AB6" s="53" t="str">
        <f t="shared" si="0"/>
        <v>二</v>
      </c>
      <c r="AC6" s="53" t="str">
        <f t="shared" si="0"/>
        <v>三</v>
      </c>
      <c r="AD6" s="53" t="str">
        <f t="shared" si="0"/>
        <v>四</v>
      </c>
      <c r="AE6" s="53" t="str">
        <f t="shared" si="0"/>
        <v>五</v>
      </c>
      <c r="AF6" s="53" t="str">
        <f t="shared" si="0"/>
        <v>六</v>
      </c>
      <c r="AG6" s="53" t="str">
        <f t="shared" si="0"/>
        <v>日</v>
      </c>
      <c r="AH6" s="53" t="str">
        <f t="shared" si="0"/>
        <v>一</v>
      </c>
      <c r="AI6" s="53" t="str">
        <f t="shared" si="0"/>
        <v>二</v>
      </c>
      <c r="AJ6" s="53" t="str">
        <f t="shared" si="0"/>
        <v>三</v>
      </c>
      <c r="AK6" s="53" t="str">
        <f t="shared" si="0"/>
        <v>四</v>
      </c>
      <c r="AL6" s="53" t="str">
        <f t="shared" si="0"/>
        <v>五</v>
      </c>
      <c r="AM6" s="185"/>
      <c r="AN6" s="187"/>
      <c r="AO6" s="187"/>
      <c r="AP6" s="187"/>
      <c r="AQ6" s="189"/>
      <c r="AR6" s="54" t="s">
        <v>23</v>
      </c>
      <c r="AS6" s="55" t="s">
        <v>24</v>
      </c>
      <c r="AT6" s="56" t="s">
        <v>25</v>
      </c>
      <c r="AU6" s="55" t="s">
        <v>26</v>
      </c>
      <c r="AV6" s="57" t="s">
        <v>27</v>
      </c>
      <c r="AW6" s="58" t="s">
        <v>28</v>
      </c>
      <c r="AX6" s="59" t="s">
        <v>29</v>
      </c>
      <c r="AY6" s="60" t="s">
        <v>30</v>
      </c>
      <c r="AZ6" s="61" t="s">
        <v>31</v>
      </c>
      <c r="BA6" s="62" t="s">
        <v>32</v>
      </c>
      <c r="BB6" s="63" t="s">
        <v>33</v>
      </c>
      <c r="BC6" s="64" t="s">
        <v>34</v>
      </c>
      <c r="BD6" s="191"/>
      <c r="BE6" s="193"/>
      <c r="BF6" s="65" t="s">
        <v>35</v>
      </c>
      <c r="BG6" s="65" t="s">
        <v>36</v>
      </c>
      <c r="BH6" s="65" t="s">
        <v>37</v>
      </c>
      <c r="BI6" s="65" t="s">
        <v>38</v>
      </c>
      <c r="BJ6" s="65" t="s">
        <v>39</v>
      </c>
      <c r="BK6" s="65" t="s">
        <v>40</v>
      </c>
    </row>
    <row r="7" spans="1:73" s="5" customFormat="1" ht="24" customHeight="1">
      <c r="A7" s="66">
        <v>1</v>
      </c>
      <c r="B7" s="67">
        <v>40000615</v>
      </c>
      <c r="C7" s="194" t="s">
        <v>106</v>
      </c>
      <c r="D7" s="69" t="s">
        <v>41</v>
      </c>
      <c r="E7" s="69" t="s">
        <v>42</v>
      </c>
      <c r="F7" s="70" t="s">
        <v>43</v>
      </c>
      <c r="G7" s="82" t="s">
        <v>44</v>
      </c>
      <c r="H7" s="71" t="s">
        <v>45</v>
      </c>
      <c r="I7" s="71" t="s">
        <v>45</v>
      </c>
      <c r="J7" s="71" t="s">
        <v>45</v>
      </c>
      <c r="K7" s="71" t="s">
        <v>46</v>
      </c>
      <c r="L7" s="71" t="s">
        <v>46</v>
      </c>
      <c r="M7" s="71" t="s">
        <v>45</v>
      </c>
      <c r="N7" s="71" t="s">
        <v>45</v>
      </c>
      <c r="O7" s="71" t="s">
        <v>45</v>
      </c>
      <c r="P7" s="71" t="s">
        <v>45</v>
      </c>
      <c r="Q7" s="71" t="s">
        <v>45</v>
      </c>
      <c r="R7" s="71" t="s">
        <v>46</v>
      </c>
      <c r="S7" s="71" t="s">
        <v>46</v>
      </c>
      <c r="T7" s="71" t="s">
        <v>45</v>
      </c>
      <c r="U7" s="71" t="s">
        <v>47</v>
      </c>
      <c r="V7" s="71" t="s">
        <v>45</v>
      </c>
      <c r="W7" s="71" t="s">
        <v>45</v>
      </c>
      <c r="X7" s="71" t="s">
        <v>45</v>
      </c>
      <c r="Y7" s="71" t="s">
        <v>46</v>
      </c>
      <c r="Z7" s="71" t="s">
        <v>46</v>
      </c>
      <c r="AA7" s="71" t="s">
        <v>45</v>
      </c>
      <c r="AB7" s="71" t="s">
        <v>45</v>
      </c>
      <c r="AC7" s="71" t="s">
        <v>45</v>
      </c>
      <c r="AD7" s="71" t="s">
        <v>45</v>
      </c>
      <c r="AE7" s="71" t="s">
        <v>45</v>
      </c>
      <c r="AF7" s="71" t="s">
        <v>46</v>
      </c>
      <c r="AG7" s="71" t="s">
        <v>46</v>
      </c>
      <c r="AH7" s="71" t="s">
        <v>45</v>
      </c>
      <c r="AI7" s="71" t="s">
        <v>45</v>
      </c>
      <c r="AJ7" s="71" t="s">
        <v>45</v>
      </c>
      <c r="AK7" s="71" t="s">
        <v>45</v>
      </c>
      <c r="AL7" s="71" t="s">
        <v>45</v>
      </c>
      <c r="AM7" s="139">
        <v>23</v>
      </c>
      <c r="AN7" s="71">
        <f>COUNTIF(H7:AL7,"N")+COUNTIF(H7:AL7,"A")+COUNTIF(H7:AL7,"B")+COUNTIF(H7:AL7,"C")+COUNTIF(H7:AL7,"E")+COUNTIF(H7:AL7,"F")+COUNTIF(H7:AL7,"CR")+COUNTIF(H7:AL7,"AR")+COUNTIF(H7:AL7,"D")+COUNTIF(H7:AL7,"BT")+COUNTIF(H7:AL7,"CL")+COUNTIF(H7:AL7,"AL")+COUNTIF(H7:AL7,"H")+COUNTIF(H7:AL7,"I")+COUNTIF(H7:AL7,"X")+COUNTIF(H7:AL7,"MRL")+COUNTIF(H7:AL7,"MTL")+COUNTIF(H7:AL7,"FL")+COUNTIF(H7:AL7,"LSL")+COUNTIF(H7:AL7,"HO")+COUNTIF(H7:AL7,"Q")+COUNTIF(H7:AL7,"W")+COUNTIF(H7:AL7,"P")+COUNTIF(H7:AL7,"U")</f>
        <v>23</v>
      </c>
      <c r="AO7" s="72">
        <f>COUNTIF(H7:AL7,"N")+COUNTIF(H7:AL7,"A")+COUNTIF(H7:AL7,"B")+COUNTIF(H7:AL7,"C")+COUNTIF(H7:AL7,"F")+COUNTIF(H7:AL7,"HO")+COUNTIF(H7:AL7,"H")+COUNTIF(H7:AL7,"E")+COUNTIF(H7:AL7,"CR")+COUNTIF(H7:AL7,"AR")+COUNTIF(H7:AL7,"D")+COUNTIF(H7:AL7,"AL")+COUNTIF(H7:AL7,"CL")+COUNTIF(H7:AL7,"BT")</f>
        <v>23</v>
      </c>
      <c r="AP7" s="140">
        <f>COUNTIF(H7:AL7,"N")+COUNTIF(H7:AL7,"A")+COUNTIF(H7:AL7,"B")+COUNTIF(H7:AL7,"C")+COUNTIF(H7:AL7,"O")+COUNTIF(H7:AL7,"HO")+COUNTIF(H7:AL7,"E")+COUNTIF(H7:AL7,"CE")+COUNTIF(H7:AL7,"CR")+COUNTIF(H7:AL7,"AR")+COUNTIF(H7:AL7,"D")+COUNTIF(H7:AL7,"BT")+COUNTIF(H7:AL7,"CL")+COUNTIF(H7:AL7,"AL")+COUNTIF(H7:AL7,"F")</f>
        <v>23</v>
      </c>
      <c r="AQ7" s="74"/>
      <c r="AR7" s="73">
        <f t="shared" ref="AR7:AR18" si="1">COUNTIF(H7:AL7,"LSL")</f>
        <v>0</v>
      </c>
      <c r="AS7" s="71">
        <f t="shared" ref="AS7:AS18" si="2">COUNTIF(H7:AL7,"W")</f>
        <v>0</v>
      </c>
      <c r="AT7" s="71">
        <f>COUNTIF(H7:AL7,"U")</f>
        <v>0</v>
      </c>
      <c r="AU7" s="71">
        <f t="shared" ref="AU7:AU18" si="3">COUNTIF(H7:AL7,"X")</f>
        <v>0</v>
      </c>
      <c r="AV7" s="74">
        <f t="shared" ref="AV7:AV18" si="4">COUNTIF(H7:AL7,"I")</f>
        <v>0</v>
      </c>
      <c r="AW7" s="75">
        <v>5</v>
      </c>
      <c r="AX7" s="76"/>
      <c r="AY7" s="76"/>
      <c r="AZ7" s="77">
        <f t="shared" ref="AZ7:AZ18" si="5">AW7+AX7-AY7</f>
        <v>5</v>
      </c>
      <c r="BA7" s="78"/>
      <c r="BB7" s="76">
        <f>COUNTIF(H7:AL7,"o")*8</f>
        <v>0</v>
      </c>
      <c r="BC7" s="77">
        <f>COUNTIF(H7:AL7,"HO")*8</f>
        <v>0</v>
      </c>
      <c r="BD7" s="79"/>
      <c r="BE7" s="80"/>
      <c r="BF7" s="81">
        <f t="shared" ref="BF7:BF18" si="6">COUNTIF(H7:AL7,"L")</f>
        <v>8</v>
      </c>
      <c r="BG7" s="81">
        <f t="shared" ref="BG7:BG18" si="7">COUNTIF(H7:AL7,"O")</f>
        <v>0</v>
      </c>
      <c r="BH7" s="81">
        <f t="shared" ref="BH7:BH18" si="8">COUNTIF(H7:AL7,"H")</f>
        <v>0</v>
      </c>
      <c r="BI7" s="81">
        <f t="shared" ref="BI7:BI18" si="9">COUNTIF(H7:AL7,"HO")</f>
        <v>0</v>
      </c>
      <c r="BJ7" s="81">
        <f>COUNTIF(H7:AL7,"S")</f>
        <v>0</v>
      </c>
      <c r="BK7" s="4">
        <f>BF7+BG7+BI7+BH7+BJ7</f>
        <v>8</v>
      </c>
      <c r="BL7" s="4"/>
      <c r="BM7" s="4"/>
      <c r="BN7" s="4"/>
      <c r="BO7" s="4"/>
      <c r="BP7" s="4"/>
      <c r="BQ7" s="4"/>
      <c r="BR7" s="4"/>
      <c r="BS7" s="4"/>
      <c r="BT7" s="4"/>
      <c r="BU7" s="4"/>
    </row>
    <row r="8" spans="1:73" s="6" customFormat="1" ht="24" customHeight="1">
      <c r="A8" s="66">
        <v>2</v>
      </c>
      <c r="B8" s="67">
        <v>40000615</v>
      </c>
      <c r="C8" s="194" t="s">
        <v>107</v>
      </c>
      <c r="D8" s="69" t="s">
        <v>48</v>
      </c>
      <c r="E8" s="70" t="s">
        <v>48</v>
      </c>
      <c r="F8" s="70" t="s">
        <v>49</v>
      </c>
      <c r="G8" s="82" t="s">
        <v>44</v>
      </c>
      <c r="H8" s="71" t="s">
        <v>45</v>
      </c>
      <c r="I8" s="71" t="s">
        <v>45</v>
      </c>
      <c r="J8" s="71" t="s">
        <v>45</v>
      </c>
      <c r="K8" s="71" t="s">
        <v>46</v>
      </c>
      <c r="L8" s="71" t="s">
        <v>46</v>
      </c>
      <c r="M8" s="71" t="s">
        <v>45</v>
      </c>
      <c r="N8" s="71" t="s">
        <v>45</v>
      </c>
      <c r="O8" s="71" t="s">
        <v>45</v>
      </c>
      <c r="P8" s="71" t="s">
        <v>45</v>
      </c>
      <c r="Q8" s="71" t="s">
        <v>45</v>
      </c>
      <c r="R8" s="71" t="s">
        <v>46</v>
      </c>
      <c r="S8" s="71" t="s">
        <v>46</v>
      </c>
      <c r="T8" s="71" t="s">
        <v>45</v>
      </c>
      <c r="U8" s="71" t="s">
        <v>45</v>
      </c>
      <c r="V8" s="71" t="s">
        <v>45</v>
      </c>
      <c r="W8" s="71" t="s">
        <v>45</v>
      </c>
      <c r="X8" s="71" t="s">
        <v>45</v>
      </c>
      <c r="Y8" s="71" t="s">
        <v>46</v>
      </c>
      <c r="Z8" s="71" t="s">
        <v>46</v>
      </c>
      <c r="AA8" s="71" t="s">
        <v>45</v>
      </c>
      <c r="AB8" s="71" t="s">
        <v>45</v>
      </c>
      <c r="AC8" s="71" t="s">
        <v>45</v>
      </c>
      <c r="AD8" s="71" t="s">
        <v>45</v>
      </c>
      <c r="AE8" s="71" t="s">
        <v>45</v>
      </c>
      <c r="AF8" s="71" t="s">
        <v>46</v>
      </c>
      <c r="AG8" s="71" t="s">
        <v>46</v>
      </c>
      <c r="AH8" s="71" t="s">
        <v>45</v>
      </c>
      <c r="AI8" s="71" t="s">
        <v>45</v>
      </c>
      <c r="AJ8" s="71" t="s">
        <v>45</v>
      </c>
      <c r="AK8" s="71" t="s">
        <v>45</v>
      </c>
      <c r="AL8" s="71" t="s">
        <v>45</v>
      </c>
      <c r="AM8" s="139">
        <v>23</v>
      </c>
      <c r="AN8" s="71">
        <f t="shared" ref="AN8:AN18" si="10">COUNTIF(H8:AL8,"N")+COUNTIF(H8:AL8,"A")+COUNTIF(H8:AL8,"B")+COUNTIF(H8:AL8,"C")+COUNTIF(H8:AL8,"E")+COUNTIF(H8:AL8,"F")+COUNTIF(H8:AL8,"CR")+COUNTIF(H8:AL8,"AR")+COUNTIF(H8:AL8,"D")+COUNTIF(H8:AL8,"BT")+COUNTIF(H8:AL8,"CL")+COUNTIF(H8:AL8,"AL")+COUNTIF(H8:AL8,"H")+COUNTIF(H8:AL8,"I")+COUNTIF(H8:AL8,"X")+COUNTIF(H8:AL8,"MRL")+COUNTIF(H8:AL8,"MTL")+COUNTIF(H8:AL8,"FL")+COUNTIF(H8:AL8,"LSL")+COUNTIF(H8:AL8,"HO")+COUNTIF(H8:AL8,"Q")+COUNTIF(H8:AL8,"W")+COUNTIF(H8:AL8,"P")+COUNTIF(H8:AL8,"U")</f>
        <v>23</v>
      </c>
      <c r="AO8" s="72">
        <f t="shared" ref="AO8:AO28" si="11">COUNTIF(H8:AL8,"N")+COUNTIF(H8:AL8,"A")+COUNTIF(H8:AL8,"B")+COUNTIF(H8:AL8,"C")+COUNTIF(H8:AL8,"F")+COUNTIF(H8:AL8,"HO")+COUNTIF(H8:AL8,"H")+COUNTIF(H8:AL8,"E")+COUNTIF(H8:AL8,"CR")+COUNTIF(H8:AL8,"AR")+COUNTIF(H8:AL8,"D")+COUNTIF(H8:AL8,"AL")+COUNTIF(H8:AL8,"CL")+COUNTIF(H8:AL8,"BT")</f>
        <v>23</v>
      </c>
      <c r="AP8" s="141">
        <f t="shared" ref="AP8:AP18" si="12">COUNTIF(H8:AL8,"N")+COUNTIF(H8:AL8,"A")+COUNTIF(H8:AL8,"B")+COUNTIF(H8:AL8,"C")+COUNTIF(H8:AL8,"O")+COUNTIF(H8:AL8,"HO")+COUNTIF(H8:AL8,"E")+COUNTIF(H8:AL8,"CE")+COUNTIF(H8:AL8,"CR")+COUNTIF(H8:AL8,"AR")+COUNTIF(H8:AL8,"D")+COUNTIF(H8:AL8,"BT")+COUNTIF(H8:AL8,"CL")+COUNTIF(H8:AL8,"AL")+COUNTIF(H8:AL8,"G")+COUNTIF(H8:AL8,"F")+COUNTIF(H8:AL8,"P")+COUNTIF(H8:AL8,"BT")</f>
        <v>23</v>
      </c>
      <c r="AQ8" s="74"/>
      <c r="AR8" s="73">
        <f t="shared" si="1"/>
        <v>0</v>
      </c>
      <c r="AS8" s="71">
        <f t="shared" si="2"/>
        <v>0</v>
      </c>
      <c r="AT8" s="71">
        <f t="shared" ref="AT8:AT18" si="13">COUNTIF(H8:AL8,"U")</f>
        <v>0</v>
      </c>
      <c r="AU8" s="71">
        <f t="shared" si="3"/>
        <v>0</v>
      </c>
      <c r="AV8" s="74">
        <f t="shared" si="4"/>
        <v>0</v>
      </c>
      <c r="AW8" s="75">
        <v>7.5</v>
      </c>
      <c r="AX8" s="76">
        <v>2</v>
      </c>
      <c r="AY8" s="76">
        <v>7.5</v>
      </c>
      <c r="AZ8" s="77">
        <f t="shared" si="5"/>
        <v>2</v>
      </c>
      <c r="BA8" s="78"/>
      <c r="BB8" s="76">
        <f t="shared" ref="BB8:BB33" si="14">COUNTIF(H8:AL8,"o")*8</f>
        <v>0</v>
      </c>
      <c r="BC8" s="77">
        <f>COUNTIF(H8:AL8,"HO")*8</f>
        <v>0</v>
      </c>
      <c r="BD8" s="79" t="s">
        <v>50</v>
      </c>
      <c r="BE8" s="80"/>
      <c r="BF8" s="81">
        <f t="shared" si="6"/>
        <v>8</v>
      </c>
      <c r="BG8" s="81">
        <f t="shared" si="7"/>
        <v>0</v>
      </c>
      <c r="BH8" s="81">
        <f t="shared" si="8"/>
        <v>0</v>
      </c>
      <c r="BI8" s="81">
        <f t="shared" si="9"/>
        <v>0</v>
      </c>
      <c r="BJ8" s="81">
        <f t="shared" ref="BJ8:BJ18" si="15">COUNTIF(H8:AL8,"S")</f>
        <v>0</v>
      </c>
      <c r="BK8" s="4">
        <f t="shared" ref="BK8:BK18" si="16">BF8+BG8+BI8+BH8+BJ8</f>
        <v>8</v>
      </c>
      <c r="BL8" s="4"/>
      <c r="BM8" s="4"/>
      <c r="BN8" s="4"/>
      <c r="BO8" s="4"/>
      <c r="BP8" s="4"/>
      <c r="BQ8" s="4"/>
      <c r="BR8" s="4"/>
      <c r="BS8" s="4"/>
      <c r="BT8" s="4"/>
      <c r="BU8" s="4"/>
    </row>
    <row r="9" spans="1:73" s="6" customFormat="1" ht="24" customHeight="1">
      <c r="A9" s="66">
        <v>3</v>
      </c>
      <c r="B9" s="67">
        <v>40000615</v>
      </c>
      <c r="C9" s="194" t="s">
        <v>108</v>
      </c>
      <c r="D9" s="69" t="s">
        <v>48</v>
      </c>
      <c r="E9" s="70" t="s">
        <v>48</v>
      </c>
      <c r="F9" s="70" t="s">
        <v>51</v>
      </c>
      <c r="G9" s="82" t="s">
        <v>44</v>
      </c>
      <c r="H9" s="71" t="s">
        <v>45</v>
      </c>
      <c r="I9" s="71" t="s">
        <v>45</v>
      </c>
      <c r="J9" s="71" t="s">
        <v>45</v>
      </c>
      <c r="K9" s="71" t="s">
        <v>46</v>
      </c>
      <c r="L9" s="71" t="s">
        <v>46</v>
      </c>
      <c r="M9" s="71" t="s">
        <v>45</v>
      </c>
      <c r="N9" s="71" t="s">
        <v>45</v>
      </c>
      <c r="O9" s="71" t="s">
        <v>45</v>
      </c>
      <c r="P9" s="71" t="s">
        <v>45</v>
      </c>
      <c r="Q9" s="71" t="s">
        <v>45</v>
      </c>
      <c r="R9" s="71" t="s">
        <v>46</v>
      </c>
      <c r="S9" s="71" t="s">
        <v>46</v>
      </c>
      <c r="T9" s="71" t="s">
        <v>45</v>
      </c>
      <c r="U9" s="71" t="s">
        <v>45</v>
      </c>
      <c r="V9" s="71" t="s">
        <v>45</v>
      </c>
      <c r="W9" s="71" t="s">
        <v>45</v>
      </c>
      <c r="X9" s="71" t="s">
        <v>45</v>
      </c>
      <c r="Y9" s="71" t="s">
        <v>46</v>
      </c>
      <c r="Z9" s="71" t="s">
        <v>46</v>
      </c>
      <c r="AA9" s="71" t="s">
        <v>45</v>
      </c>
      <c r="AB9" s="71" t="s">
        <v>45</v>
      </c>
      <c r="AC9" s="71" t="s">
        <v>45</v>
      </c>
      <c r="AD9" s="71" t="s">
        <v>45</v>
      </c>
      <c r="AE9" s="71" t="s">
        <v>45</v>
      </c>
      <c r="AF9" s="71" t="s">
        <v>46</v>
      </c>
      <c r="AG9" s="71" t="s">
        <v>46</v>
      </c>
      <c r="AH9" s="71" t="s">
        <v>45</v>
      </c>
      <c r="AI9" s="71" t="s">
        <v>45</v>
      </c>
      <c r="AJ9" s="71" t="s">
        <v>45</v>
      </c>
      <c r="AK9" s="71" t="s">
        <v>45</v>
      </c>
      <c r="AL9" s="71" t="s">
        <v>45</v>
      </c>
      <c r="AM9" s="139">
        <v>23</v>
      </c>
      <c r="AN9" s="71">
        <f t="shared" si="10"/>
        <v>23</v>
      </c>
      <c r="AO9" s="72">
        <f t="shared" si="11"/>
        <v>23</v>
      </c>
      <c r="AP9" s="141">
        <f t="shared" si="12"/>
        <v>23</v>
      </c>
      <c r="AQ9" s="74"/>
      <c r="AR9" s="73">
        <f t="shared" si="1"/>
        <v>0</v>
      </c>
      <c r="AS9" s="71">
        <f t="shared" si="2"/>
        <v>0</v>
      </c>
      <c r="AT9" s="71">
        <f t="shared" si="13"/>
        <v>0</v>
      </c>
      <c r="AU9" s="71">
        <f t="shared" si="3"/>
        <v>0</v>
      </c>
      <c r="AV9" s="74">
        <f t="shared" si="4"/>
        <v>0</v>
      </c>
      <c r="AW9" s="75">
        <v>55.5</v>
      </c>
      <c r="AX9" s="76">
        <v>2</v>
      </c>
      <c r="AY9" s="76"/>
      <c r="AZ9" s="77">
        <f t="shared" si="5"/>
        <v>57.5</v>
      </c>
      <c r="BA9" s="78"/>
      <c r="BB9" s="76">
        <f t="shared" si="14"/>
        <v>0</v>
      </c>
      <c r="BC9" s="77">
        <f>COUNTIF(H9:AL9,"HO")*8</f>
        <v>0</v>
      </c>
      <c r="BD9" s="79" t="s">
        <v>50</v>
      </c>
      <c r="BE9" s="80"/>
      <c r="BF9" s="81">
        <f t="shared" si="6"/>
        <v>8</v>
      </c>
      <c r="BG9" s="81">
        <f t="shared" si="7"/>
        <v>0</v>
      </c>
      <c r="BH9" s="81">
        <f t="shared" si="8"/>
        <v>0</v>
      </c>
      <c r="BI9" s="81">
        <f t="shared" si="9"/>
        <v>0</v>
      </c>
      <c r="BJ9" s="81">
        <f t="shared" si="15"/>
        <v>0</v>
      </c>
      <c r="BK9" s="4">
        <f t="shared" si="16"/>
        <v>8</v>
      </c>
      <c r="BL9" s="4"/>
      <c r="BM9" s="4"/>
      <c r="BN9" s="4"/>
      <c r="BO9" s="4"/>
      <c r="BP9" s="4"/>
      <c r="BQ9" s="4"/>
      <c r="BR9" s="4"/>
      <c r="BS9" s="4"/>
      <c r="BT9" s="4"/>
      <c r="BU9" s="4"/>
    </row>
    <row r="10" spans="1:73" s="7" customFormat="1" ht="24" customHeight="1">
      <c r="A10" s="66">
        <v>4</v>
      </c>
      <c r="B10" s="67">
        <v>40000615</v>
      </c>
      <c r="C10" s="194" t="s">
        <v>109</v>
      </c>
      <c r="D10" s="69" t="s">
        <v>52</v>
      </c>
      <c r="E10" s="70" t="s">
        <v>52</v>
      </c>
      <c r="F10" s="70" t="s">
        <v>53</v>
      </c>
      <c r="G10" s="82" t="s">
        <v>44</v>
      </c>
      <c r="H10" s="71" t="s">
        <v>45</v>
      </c>
      <c r="I10" s="71" t="s">
        <v>45</v>
      </c>
      <c r="J10" s="71" t="s">
        <v>45</v>
      </c>
      <c r="K10" s="71" t="s">
        <v>45</v>
      </c>
      <c r="L10" s="71" t="s">
        <v>46</v>
      </c>
      <c r="M10" s="71" t="s">
        <v>46</v>
      </c>
      <c r="N10" s="71" t="s">
        <v>45</v>
      </c>
      <c r="O10" s="71" t="s">
        <v>45</v>
      </c>
      <c r="P10" s="71" t="s">
        <v>45</v>
      </c>
      <c r="Q10" s="71" t="s">
        <v>45</v>
      </c>
      <c r="R10" s="71" t="s">
        <v>45</v>
      </c>
      <c r="S10" s="71" t="s">
        <v>46</v>
      </c>
      <c r="T10" s="71" t="s">
        <v>46</v>
      </c>
      <c r="U10" s="71" t="s">
        <v>47</v>
      </c>
      <c r="V10" s="71" t="s">
        <v>45</v>
      </c>
      <c r="W10" s="71" t="s">
        <v>45</v>
      </c>
      <c r="X10" s="71" t="s">
        <v>45</v>
      </c>
      <c r="Y10" s="71" t="s">
        <v>46</v>
      </c>
      <c r="Z10" s="71" t="s">
        <v>46</v>
      </c>
      <c r="AA10" s="71" t="s">
        <v>54</v>
      </c>
      <c r="AB10" s="71" t="s">
        <v>45</v>
      </c>
      <c r="AC10" s="71" t="s">
        <v>45</v>
      </c>
      <c r="AD10" s="71" t="s">
        <v>45</v>
      </c>
      <c r="AE10" s="71" t="s">
        <v>45</v>
      </c>
      <c r="AF10" s="71" t="s">
        <v>46</v>
      </c>
      <c r="AG10" s="71" t="s">
        <v>46</v>
      </c>
      <c r="AH10" s="71" t="s">
        <v>45</v>
      </c>
      <c r="AI10" s="71" t="s">
        <v>45</v>
      </c>
      <c r="AJ10" s="71" t="s">
        <v>45</v>
      </c>
      <c r="AK10" s="71" t="s">
        <v>45</v>
      </c>
      <c r="AL10" s="71" t="s">
        <v>45</v>
      </c>
      <c r="AM10" s="139">
        <v>23</v>
      </c>
      <c r="AN10" s="71">
        <f t="shared" si="10"/>
        <v>23</v>
      </c>
      <c r="AO10" s="72">
        <f t="shared" si="11"/>
        <v>23</v>
      </c>
      <c r="AP10" s="141">
        <f t="shared" si="12"/>
        <v>24</v>
      </c>
      <c r="AQ10" s="74"/>
      <c r="AR10" s="73">
        <f t="shared" si="1"/>
        <v>0</v>
      </c>
      <c r="AS10" s="71">
        <f t="shared" si="2"/>
        <v>0</v>
      </c>
      <c r="AT10" s="71">
        <f t="shared" si="13"/>
        <v>0</v>
      </c>
      <c r="AU10" s="71">
        <f t="shared" si="3"/>
        <v>0</v>
      </c>
      <c r="AV10" s="74">
        <f t="shared" si="4"/>
        <v>0</v>
      </c>
      <c r="AW10" s="75">
        <v>25.5</v>
      </c>
      <c r="AX10" s="76"/>
      <c r="AY10" s="76">
        <v>7.5</v>
      </c>
      <c r="AZ10" s="77">
        <f t="shared" si="5"/>
        <v>18</v>
      </c>
      <c r="BA10" s="78"/>
      <c r="BB10" s="76">
        <f t="shared" si="14"/>
        <v>0</v>
      </c>
      <c r="BC10" s="77">
        <f>COUNTIF(H10:AL10,"HO")*8</f>
        <v>0</v>
      </c>
      <c r="BD10" s="79" t="s">
        <v>50</v>
      </c>
      <c r="BE10" s="80"/>
      <c r="BF10" s="81">
        <f t="shared" si="6"/>
        <v>8</v>
      </c>
      <c r="BG10" s="81">
        <f t="shared" si="7"/>
        <v>0</v>
      </c>
      <c r="BH10" s="81">
        <f t="shared" si="8"/>
        <v>0</v>
      </c>
      <c r="BI10" s="81">
        <f t="shared" si="9"/>
        <v>0</v>
      </c>
      <c r="BJ10" s="81">
        <f t="shared" si="15"/>
        <v>0</v>
      </c>
      <c r="BK10" s="4">
        <f t="shared" si="16"/>
        <v>8</v>
      </c>
      <c r="BL10" s="4"/>
      <c r="BM10" s="4"/>
      <c r="BN10" s="4"/>
      <c r="BO10" s="4"/>
      <c r="BP10" s="4"/>
      <c r="BQ10" s="4"/>
      <c r="BR10" s="4"/>
      <c r="BS10" s="4"/>
      <c r="BT10" s="4"/>
      <c r="BU10" s="4"/>
    </row>
    <row r="11" spans="1:73" s="6" customFormat="1" ht="24" customHeight="1">
      <c r="A11" s="66">
        <v>5</v>
      </c>
      <c r="B11" s="67">
        <v>40000615</v>
      </c>
      <c r="C11" s="194" t="s">
        <v>110</v>
      </c>
      <c r="D11" s="69" t="s">
        <v>52</v>
      </c>
      <c r="E11" s="70" t="s">
        <v>52</v>
      </c>
      <c r="F11" s="70" t="s">
        <v>55</v>
      </c>
      <c r="G11" s="82" t="s">
        <v>44</v>
      </c>
      <c r="H11" s="78" t="s">
        <v>45</v>
      </c>
      <c r="I11" s="71" t="s">
        <v>45</v>
      </c>
      <c r="J11" s="71" t="s">
        <v>45</v>
      </c>
      <c r="K11" s="71" t="s">
        <v>56</v>
      </c>
      <c r="L11" s="71" t="s">
        <v>56</v>
      </c>
      <c r="M11" s="71" t="s">
        <v>45</v>
      </c>
      <c r="N11" s="71" t="s">
        <v>45</v>
      </c>
      <c r="O11" s="71" t="s">
        <v>45</v>
      </c>
      <c r="P11" s="71" t="s">
        <v>45</v>
      </c>
      <c r="Q11" s="71" t="s">
        <v>45</v>
      </c>
      <c r="R11" s="71" t="s">
        <v>46</v>
      </c>
      <c r="S11" s="71" t="s">
        <v>46</v>
      </c>
      <c r="T11" s="71" t="s">
        <v>57</v>
      </c>
      <c r="U11" s="71" t="s">
        <v>46</v>
      </c>
      <c r="V11" s="71" t="s">
        <v>45</v>
      </c>
      <c r="W11" s="71" t="s">
        <v>58</v>
      </c>
      <c r="X11" s="71" t="s">
        <v>58</v>
      </c>
      <c r="Y11" s="71" t="s">
        <v>56</v>
      </c>
      <c r="Z11" s="71" t="s">
        <v>56</v>
      </c>
      <c r="AA11" s="71" t="s">
        <v>58</v>
      </c>
      <c r="AB11" s="71" t="s">
        <v>58</v>
      </c>
      <c r="AC11" s="71" t="s">
        <v>58</v>
      </c>
      <c r="AD11" s="71" t="s">
        <v>46</v>
      </c>
      <c r="AE11" s="71" t="s">
        <v>58</v>
      </c>
      <c r="AF11" s="71" t="s">
        <v>58</v>
      </c>
      <c r="AG11" s="71" t="s">
        <v>45</v>
      </c>
      <c r="AH11" s="71" t="s">
        <v>58</v>
      </c>
      <c r="AI11" s="71" t="s">
        <v>58</v>
      </c>
      <c r="AJ11" s="71" t="s">
        <v>58</v>
      </c>
      <c r="AK11" s="71" t="s">
        <v>58</v>
      </c>
      <c r="AL11" s="71" t="s">
        <v>58</v>
      </c>
      <c r="AM11" s="139">
        <v>23</v>
      </c>
      <c r="AN11" s="71">
        <f t="shared" si="10"/>
        <v>23</v>
      </c>
      <c r="AO11" s="72">
        <f t="shared" si="11"/>
        <v>23</v>
      </c>
      <c r="AP11" s="141">
        <f t="shared" si="12"/>
        <v>27</v>
      </c>
      <c r="AQ11" s="74"/>
      <c r="AR11" s="73">
        <f t="shared" si="1"/>
        <v>0</v>
      </c>
      <c r="AS11" s="71">
        <f t="shared" si="2"/>
        <v>0</v>
      </c>
      <c r="AT11" s="71">
        <f t="shared" si="13"/>
        <v>0</v>
      </c>
      <c r="AU11" s="71">
        <f t="shared" si="3"/>
        <v>0</v>
      </c>
      <c r="AV11" s="74">
        <f t="shared" si="4"/>
        <v>0</v>
      </c>
      <c r="AW11" s="75">
        <v>3.5</v>
      </c>
      <c r="AX11" s="76">
        <v>3</v>
      </c>
      <c r="AY11" s="76"/>
      <c r="AZ11" s="77">
        <f t="shared" si="5"/>
        <v>6.5</v>
      </c>
      <c r="BA11" s="78"/>
      <c r="BB11" s="76">
        <f t="shared" si="14"/>
        <v>32</v>
      </c>
      <c r="BC11" s="77">
        <f>COUNTIF(H11:AL11,"HO")*8</f>
        <v>0</v>
      </c>
      <c r="BD11" s="79" t="s">
        <v>50</v>
      </c>
      <c r="BE11" s="80"/>
      <c r="BF11" s="81">
        <f t="shared" si="6"/>
        <v>4</v>
      </c>
      <c r="BG11" s="81">
        <f t="shared" si="7"/>
        <v>4</v>
      </c>
      <c r="BH11" s="81">
        <f t="shared" si="8"/>
        <v>0</v>
      </c>
      <c r="BI11" s="81">
        <f t="shared" si="9"/>
        <v>0</v>
      </c>
      <c r="BJ11" s="81">
        <f t="shared" si="15"/>
        <v>0</v>
      </c>
      <c r="BK11" s="4">
        <f t="shared" si="16"/>
        <v>8</v>
      </c>
      <c r="BL11" s="4"/>
      <c r="BM11" s="4"/>
      <c r="BN11" s="4"/>
      <c r="BO11" s="4"/>
      <c r="BP11" s="4"/>
      <c r="BQ11" s="4"/>
      <c r="BR11" s="4"/>
      <c r="BS11" s="4"/>
      <c r="BT11" s="4"/>
      <c r="BU11" s="4"/>
    </row>
    <row r="12" spans="1:73" s="6" customFormat="1" ht="24" customHeight="1">
      <c r="A12" s="66">
        <v>6</v>
      </c>
      <c r="B12" s="67">
        <v>40000615</v>
      </c>
      <c r="C12" s="194" t="s">
        <v>111</v>
      </c>
      <c r="D12" s="69" t="s">
        <v>52</v>
      </c>
      <c r="E12" s="70" t="s">
        <v>52</v>
      </c>
      <c r="F12" s="70" t="s">
        <v>55</v>
      </c>
      <c r="G12" s="82" t="s">
        <v>44</v>
      </c>
      <c r="H12" s="78" t="s">
        <v>58</v>
      </c>
      <c r="I12" s="71" t="s">
        <v>46</v>
      </c>
      <c r="J12" s="71" t="s">
        <v>58</v>
      </c>
      <c r="K12" s="71" t="s">
        <v>58</v>
      </c>
      <c r="L12" s="71" t="s">
        <v>58</v>
      </c>
      <c r="M12" s="71" t="s">
        <v>58</v>
      </c>
      <c r="N12" s="71" t="s">
        <v>58</v>
      </c>
      <c r="O12" s="71" t="s">
        <v>58</v>
      </c>
      <c r="P12" s="71" t="s">
        <v>58</v>
      </c>
      <c r="Q12" s="71" t="s">
        <v>58</v>
      </c>
      <c r="R12" s="71" t="s">
        <v>56</v>
      </c>
      <c r="S12" s="71" t="s">
        <v>56</v>
      </c>
      <c r="T12" s="71" t="s">
        <v>58</v>
      </c>
      <c r="U12" s="71" t="s">
        <v>45</v>
      </c>
      <c r="V12" s="71" t="s">
        <v>58</v>
      </c>
      <c r="W12" s="71" t="s">
        <v>45</v>
      </c>
      <c r="X12" s="71" t="s">
        <v>45</v>
      </c>
      <c r="Y12" s="71" t="s">
        <v>46</v>
      </c>
      <c r="Z12" s="71" t="s">
        <v>46</v>
      </c>
      <c r="AA12" s="71" t="s">
        <v>45</v>
      </c>
      <c r="AB12" s="71" t="s">
        <v>45</v>
      </c>
      <c r="AC12" s="71" t="s">
        <v>45</v>
      </c>
      <c r="AD12" s="71" t="s">
        <v>45</v>
      </c>
      <c r="AE12" s="71" t="s">
        <v>56</v>
      </c>
      <c r="AF12" s="71" t="s">
        <v>56</v>
      </c>
      <c r="AG12" s="71" t="s">
        <v>46</v>
      </c>
      <c r="AH12" s="71" t="s">
        <v>45</v>
      </c>
      <c r="AI12" s="71" t="s">
        <v>45</v>
      </c>
      <c r="AJ12" s="71" t="s">
        <v>45</v>
      </c>
      <c r="AK12" s="71" t="s">
        <v>45</v>
      </c>
      <c r="AL12" s="74" t="s">
        <v>45</v>
      </c>
      <c r="AM12" s="139">
        <v>23</v>
      </c>
      <c r="AN12" s="71">
        <f t="shared" si="10"/>
        <v>23</v>
      </c>
      <c r="AO12" s="72">
        <f t="shared" si="11"/>
        <v>23</v>
      </c>
      <c r="AP12" s="141">
        <f t="shared" si="12"/>
        <v>27</v>
      </c>
      <c r="AQ12" s="74"/>
      <c r="AR12" s="73">
        <f t="shared" si="1"/>
        <v>0</v>
      </c>
      <c r="AS12" s="71">
        <f t="shared" si="2"/>
        <v>0</v>
      </c>
      <c r="AT12" s="71">
        <f t="shared" si="13"/>
        <v>0</v>
      </c>
      <c r="AU12" s="71">
        <f t="shared" si="3"/>
        <v>0</v>
      </c>
      <c r="AV12" s="74">
        <f t="shared" si="4"/>
        <v>0</v>
      </c>
      <c r="AW12" s="75">
        <v>2</v>
      </c>
      <c r="AX12" s="76">
        <v>7</v>
      </c>
      <c r="AY12" s="76"/>
      <c r="AZ12" s="77">
        <f t="shared" si="5"/>
        <v>9</v>
      </c>
      <c r="BA12" s="78"/>
      <c r="BB12" s="76">
        <f t="shared" si="14"/>
        <v>32</v>
      </c>
      <c r="BC12" s="77">
        <f t="shared" ref="BC12:BC33" si="17">COUNTIF(H12:AL12,"HO")*8</f>
        <v>0</v>
      </c>
      <c r="BD12" s="79" t="s">
        <v>50</v>
      </c>
      <c r="BE12" s="80"/>
      <c r="BF12" s="81">
        <f t="shared" si="6"/>
        <v>4</v>
      </c>
      <c r="BG12" s="81">
        <f t="shared" si="7"/>
        <v>4</v>
      </c>
      <c r="BH12" s="81">
        <f t="shared" si="8"/>
        <v>0</v>
      </c>
      <c r="BI12" s="81">
        <f t="shared" si="9"/>
        <v>0</v>
      </c>
      <c r="BJ12" s="81">
        <f t="shared" si="15"/>
        <v>0</v>
      </c>
      <c r="BK12" s="4">
        <f t="shared" si="16"/>
        <v>8</v>
      </c>
      <c r="BL12" s="4"/>
      <c r="BM12" s="4"/>
      <c r="BN12" s="4"/>
      <c r="BO12" s="4"/>
      <c r="BP12" s="4"/>
      <c r="BQ12" s="4"/>
      <c r="BR12" s="4"/>
      <c r="BS12" s="4"/>
      <c r="BT12" s="4"/>
      <c r="BU12" s="4"/>
    </row>
    <row r="13" spans="1:73" s="6" customFormat="1" ht="24" customHeight="1">
      <c r="A13" s="66">
        <v>7</v>
      </c>
      <c r="B13" s="67">
        <v>40000615</v>
      </c>
      <c r="C13" s="194" t="s">
        <v>112</v>
      </c>
      <c r="D13" s="69" t="s">
        <v>52</v>
      </c>
      <c r="E13" s="70" t="s">
        <v>52</v>
      </c>
      <c r="F13" s="70" t="s">
        <v>55</v>
      </c>
      <c r="G13" s="82" t="s">
        <v>44</v>
      </c>
      <c r="H13" s="78" t="s">
        <v>45</v>
      </c>
      <c r="I13" s="71" t="s">
        <v>45</v>
      </c>
      <c r="J13" s="71" t="s">
        <v>45</v>
      </c>
      <c r="K13" s="71" t="s">
        <v>56</v>
      </c>
      <c r="L13" s="71" t="s">
        <v>56</v>
      </c>
      <c r="M13" s="71" t="s">
        <v>45</v>
      </c>
      <c r="N13" s="71" t="s">
        <v>45</v>
      </c>
      <c r="O13" s="71" t="s">
        <v>45</v>
      </c>
      <c r="P13" s="71" t="s">
        <v>45</v>
      </c>
      <c r="Q13" s="71" t="s">
        <v>45</v>
      </c>
      <c r="R13" s="71" t="s">
        <v>46</v>
      </c>
      <c r="S13" s="71" t="s">
        <v>46</v>
      </c>
      <c r="T13" s="71" t="s">
        <v>54</v>
      </c>
      <c r="U13" s="71" t="s">
        <v>45</v>
      </c>
      <c r="V13" s="71" t="s">
        <v>45</v>
      </c>
      <c r="W13" s="71" t="s">
        <v>45</v>
      </c>
      <c r="X13" s="71" t="s">
        <v>45</v>
      </c>
      <c r="Y13" s="71" t="s">
        <v>56</v>
      </c>
      <c r="Z13" s="71" t="s">
        <v>46</v>
      </c>
      <c r="AA13" s="71" t="s">
        <v>45</v>
      </c>
      <c r="AB13" s="71" t="s">
        <v>45</v>
      </c>
      <c r="AC13" s="71" t="s">
        <v>45</v>
      </c>
      <c r="AD13" s="71" t="s">
        <v>45</v>
      </c>
      <c r="AE13" s="71" t="s">
        <v>45</v>
      </c>
      <c r="AF13" s="71" t="s">
        <v>56</v>
      </c>
      <c r="AG13" s="71" t="s">
        <v>45</v>
      </c>
      <c r="AH13" s="71" t="s">
        <v>45</v>
      </c>
      <c r="AI13" s="71" t="s">
        <v>46</v>
      </c>
      <c r="AJ13" s="71" t="s">
        <v>45</v>
      </c>
      <c r="AK13" s="71" t="s">
        <v>45</v>
      </c>
      <c r="AL13" s="74" t="s">
        <v>45</v>
      </c>
      <c r="AM13" s="139">
        <v>23</v>
      </c>
      <c r="AN13" s="71">
        <f t="shared" si="10"/>
        <v>23</v>
      </c>
      <c r="AO13" s="72">
        <f t="shared" si="11"/>
        <v>23</v>
      </c>
      <c r="AP13" s="141">
        <f t="shared" si="12"/>
        <v>27</v>
      </c>
      <c r="AQ13" s="74"/>
      <c r="AR13" s="73">
        <f t="shared" si="1"/>
        <v>0</v>
      </c>
      <c r="AS13" s="71">
        <f t="shared" si="2"/>
        <v>0</v>
      </c>
      <c r="AT13" s="71">
        <f t="shared" si="13"/>
        <v>0</v>
      </c>
      <c r="AU13" s="71">
        <f t="shared" si="3"/>
        <v>0</v>
      </c>
      <c r="AV13" s="74">
        <f t="shared" si="4"/>
        <v>0</v>
      </c>
      <c r="AW13" s="75">
        <v>8</v>
      </c>
      <c r="AX13" s="76"/>
      <c r="AY13" s="76">
        <v>7.5</v>
      </c>
      <c r="AZ13" s="77">
        <f t="shared" si="5"/>
        <v>0.5</v>
      </c>
      <c r="BA13" s="78"/>
      <c r="BB13" s="76">
        <f t="shared" si="14"/>
        <v>32</v>
      </c>
      <c r="BC13" s="77">
        <f t="shared" si="17"/>
        <v>0</v>
      </c>
      <c r="BD13" s="79" t="s">
        <v>50</v>
      </c>
      <c r="BE13" s="80"/>
      <c r="BF13" s="81">
        <f t="shared" si="6"/>
        <v>4</v>
      </c>
      <c r="BG13" s="81">
        <f t="shared" si="7"/>
        <v>4</v>
      </c>
      <c r="BH13" s="81">
        <f t="shared" si="8"/>
        <v>0</v>
      </c>
      <c r="BI13" s="81">
        <f t="shared" si="9"/>
        <v>0</v>
      </c>
      <c r="BJ13" s="81">
        <f t="shared" si="15"/>
        <v>0</v>
      </c>
      <c r="BK13" s="4">
        <f t="shared" si="16"/>
        <v>8</v>
      </c>
      <c r="BL13" s="4"/>
      <c r="BM13" s="4"/>
      <c r="BN13" s="4"/>
      <c r="BO13" s="4"/>
      <c r="BP13" s="4"/>
      <c r="BQ13" s="4"/>
      <c r="BR13" s="4"/>
      <c r="BS13" s="4"/>
      <c r="BT13" s="4"/>
      <c r="BU13" s="4"/>
    </row>
    <row r="14" spans="1:73" s="6" customFormat="1" ht="24" customHeight="1">
      <c r="A14" s="66">
        <v>8</v>
      </c>
      <c r="B14" s="67">
        <v>40000615</v>
      </c>
      <c r="C14" s="194" t="s">
        <v>113</v>
      </c>
      <c r="D14" s="69" t="s">
        <v>52</v>
      </c>
      <c r="E14" s="70" t="s">
        <v>52</v>
      </c>
      <c r="F14" s="70" t="s">
        <v>55</v>
      </c>
      <c r="G14" s="82" t="s">
        <v>44</v>
      </c>
      <c r="H14" s="78" t="s">
        <v>46</v>
      </c>
      <c r="I14" s="71" t="s">
        <v>45</v>
      </c>
      <c r="J14" s="71" t="s">
        <v>45</v>
      </c>
      <c r="K14" s="71" t="s">
        <v>56</v>
      </c>
      <c r="L14" s="71" t="s">
        <v>56</v>
      </c>
      <c r="M14" s="71" t="s">
        <v>45</v>
      </c>
      <c r="N14" s="71" t="s">
        <v>45</v>
      </c>
      <c r="O14" s="71" t="s">
        <v>45</v>
      </c>
      <c r="P14" s="71" t="s">
        <v>45</v>
      </c>
      <c r="Q14" s="71" t="s">
        <v>45</v>
      </c>
      <c r="R14" s="71" t="s">
        <v>45</v>
      </c>
      <c r="S14" s="71" t="s">
        <v>56</v>
      </c>
      <c r="T14" s="71" t="s">
        <v>45</v>
      </c>
      <c r="U14" s="71" t="s">
        <v>46</v>
      </c>
      <c r="V14" s="71" t="s">
        <v>45</v>
      </c>
      <c r="W14" s="71" t="s">
        <v>45</v>
      </c>
      <c r="X14" s="71" t="s">
        <v>45</v>
      </c>
      <c r="Y14" s="71" t="s">
        <v>46</v>
      </c>
      <c r="Z14" s="71" t="s">
        <v>56</v>
      </c>
      <c r="AA14" s="71" t="s">
        <v>45</v>
      </c>
      <c r="AB14" s="71" t="s">
        <v>45</v>
      </c>
      <c r="AC14" s="71" t="s">
        <v>45</v>
      </c>
      <c r="AD14" s="71" t="s">
        <v>45</v>
      </c>
      <c r="AE14" s="71" t="s">
        <v>45</v>
      </c>
      <c r="AF14" s="71" t="s">
        <v>45</v>
      </c>
      <c r="AG14" s="71" t="s">
        <v>46</v>
      </c>
      <c r="AH14" s="71" t="s">
        <v>45</v>
      </c>
      <c r="AI14" s="71" t="s">
        <v>45</v>
      </c>
      <c r="AJ14" s="71" t="s">
        <v>45</v>
      </c>
      <c r="AK14" s="71" t="s">
        <v>45</v>
      </c>
      <c r="AL14" s="74" t="s">
        <v>45</v>
      </c>
      <c r="AM14" s="139">
        <v>23</v>
      </c>
      <c r="AN14" s="71">
        <f t="shared" si="10"/>
        <v>23</v>
      </c>
      <c r="AO14" s="72">
        <f t="shared" si="11"/>
        <v>23</v>
      </c>
      <c r="AP14" s="141">
        <f t="shared" si="12"/>
        <v>27</v>
      </c>
      <c r="AQ14" s="74"/>
      <c r="AR14" s="73">
        <f t="shared" si="1"/>
        <v>0</v>
      </c>
      <c r="AS14" s="71">
        <f t="shared" si="2"/>
        <v>0</v>
      </c>
      <c r="AT14" s="71">
        <f t="shared" si="13"/>
        <v>0</v>
      </c>
      <c r="AU14" s="71">
        <f t="shared" si="3"/>
        <v>0</v>
      </c>
      <c r="AV14" s="74">
        <f t="shared" si="4"/>
        <v>0</v>
      </c>
      <c r="AW14" s="75">
        <v>28</v>
      </c>
      <c r="AX14" s="76">
        <v>2.5</v>
      </c>
      <c r="AY14" s="76"/>
      <c r="AZ14" s="77">
        <f t="shared" si="5"/>
        <v>30.5</v>
      </c>
      <c r="BA14" s="78"/>
      <c r="BB14" s="76">
        <f t="shared" si="14"/>
        <v>32</v>
      </c>
      <c r="BC14" s="77">
        <f t="shared" si="17"/>
        <v>0</v>
      </c>
      <c r="BD14" s="79" t="s">
        <v>59</v>
      </c>
      <c r="BE14" s="80"/>
      <c r="BF14" s="81">
        <f t="shared" si="6"/>
        <v>4</v>
      </c>
      <c r="BG14" s="81">
        <f t="shared" si="7"/>
        <v>4</v>
      </c>
      <c r="BH14" s="81">
        <f t="shared" si="8"/>
        <v>0</v>
      </c>
      <c r="BI14" s="81">
        <f t="shared" si="9"/>
        <v>0</v>
      </c>
      <c r="BJ14" s="81">
        <f t="shared" si="15"/>
        <v>0</v>
      </c>
      <c r="BK14" s="4">
        <f t="shared" si="16"/>
        <v>8</v>
      </c>
      <c r="BL14" s="4"/>
      <c r="BM14" s="4"/>
      <c r="BN14" s="4"/>
      <c r="BO14" s="4"/>
      <c r="BP14" s="4"/>
      <c r="BQ14" s="4"/>
      <c r="BR14" s="4"/>
      <c r="BS14" s="4"/>
      <c r="BT14" s="4"/>
      <c r="BU14" s="4"/>
    </row>
    <row r="15" spans="1:73" s="6" customFormat="1" ht="24" customHeight="1">
      <c r="A15" s="66">
        <v>9</v>
      </c>
      <c r="B15" s="67">
        <v>40000615</v>
      </c>
      <c r="C15" s="194" t="s">
        <v>114</v>
      </c>
      <c r="D15" s="69" t="s">
        <v>52</v>
      </c>
      <c r="E15" s="70" t="s">
        <v>52</v>
      </c>
      <c r="F15" s="70" t="s">
        <v>55</v>
      </c>
      <c r="G15" s="82" t="s">
        <v>44</v>
      </c>
      <c r="H15" s="78" t="s">
        <v>45</v>
      </c>
      <c r="I15" s="71" t="s">
        <v>45</v>
      </c>
      <c r="J15" s="71" t="s">
        <v>46</v>
      </c>
      <c r="K15" s="71" t="s">
        <v>45</v>
      </c>
      <c r="L15" s="71" t="s">
        <v>56</v>
      </c>
      <c r="M15" s="71" t="s">
        <v>45</v>
      </c>
      <c r="N15" s="71" t="s">
        <v>45</v>
      </c>
      <c r="O15" s="71" t="s">
        <v>45</v>
      </c>
      <c r="P15" s="71" t="s">
        <v>45</v>
      </c>
      <c r="Q15" s="71" t="s">
        <v>45</v>
      </c>
      <c r="R15" s="71" t="s">
        <v>46</v>
      </c>
      <c r="S15" s="71" t="s">
        <v>56</v>
      </c>
      <c r="T15" s="71" t="s">
        <v>45</v>
      </c>
      <c r="U15" s="71" t="s">
        <v>45</v>
      </c>
      <c r="V15" s="71" t="s">
        <v>45</v>
      </c>
      <c r="W15" s="71" t="s">
        <v>46</v>
      </c>
      <c r="X15" s="71" t="s">
        <v>45</v>
      </c>
      <c r="Y15" s="71" t="s">
        <v>45</v>
      </c>
      <c r="Z15" s="71" t="s">
        <v>56</v>
      </c>
      <c r="AA15" s="71" t="s">
        <v>45</v>
      </c>
      <c r="AB15" s="71" t="s">
        <v>45</v>
      </c>
      <c r="AC15" s="71" t="s">
        <v>45</v>
      </c>
      <c r="AD15" s="71" t="s">
        <v>45</v>
      </c>
      <c r="AE15" s="71" t="s">
        <v>46</v>
      </c>
      <c r="AF15" s="71" t="s">
        <v>56</v>
      </c>
      <c r="AG15" s="71" t="s">
        <v>45</v>
      </c>
      <c r="AH15" s="71" t="s">
        <v>60</v>
      </c>
      <c r="AI15" s="71" t="s">
        <v>60</v>
      </c>
      <c r="AJ15" s="71" t="s">
        <v>60</v>
      </c>
      <c r="AK15" s="71" t="s">
        <v>60</v>
      </c>
      <c r="AL15" s="74" t="s">
        <v>60</v>
      </c>
      <c r="AM15" s="139">
        <v>23</v>
      </c>
      <c r="AN15" s="71">
        <f t="shared" si="10"/>
        <v>18</v>
      </c>
      <c r="AO15" s="72">
        <f t="shared" si="11"/>
        <v>18</v>
      </c>
      <c r="AP15" s="141">
        <f t="shared" si="12"/>
        <v>22</v>
      </c>
      <c r="AQ15" s="74"/>
      <c r="AR15" s="73">
        <f t="shared" si="1"/>
        <v>0</v>
      </c>
      <c r="AS15" s="71">
        <f t="shared" si="2"/>
        <v>0</v>
      </c>
      <c r="AT15" s="71">
        <f t="shared" si="13"/>
        <v>0</v>
      </c>
      <c r="AU15" s="71">
        <f t="shared" si="3"/>
        <v>0</v>
      </c>
      <c r="AV15" s="74">
        <f t="shared" si="4"/>
        <v>0</v>
      </c>
      <c r="AW15" s="75">
        <v>8.5</v>
      </c>
      <c r="AX15" s="76">
        <v>4.5</v>
      </c>
      <c r="AY15" s="76"/>
      <c r="AZ15" s="77">
        <f t="shared" si="5"/>
        <v>13</v>
      </c>
      <c r="BA15" s="78"/>
      <c r="BB15" s="76">
        <f>COUNTIF(H15:AL15,"o")*8-1</f>
        <v>31</v>
      </c>
      <c r="BC15" s="77">
        <f t="shared" si="17"/>
        <v>0</v>
      </c>
      <c r="BD15" s="79" t="s">
        <v>58</v>
      </c>
      <c r="BE15" s="80"/>
      <c r="BF15" s="81">
        <f t="shared" si="6"/>
        <v>4</v>
      </c>
      <c r="BG15" s="81">
        <f t="shared" si="7"/>
        <v>4</v>
      </c>
      <c r="BH15" s="81">
        <f t="shared" si="8"/>
        <v>0</v>
      </c>
      <c r="BI15" s="81">
        <f t="shared" si="9"/>
        <v>0</v>
      </c>
      <c r="BJ15" s="81">
        <f t="shared" si="15"/>
        <v>0</v>
      </c>
      <c r="BK15" s="4">
        <f t="shared" si="16"/>
        <v>8</v>
      </c>
      <c r="BL15" s="4"/>
      <c r="BM15" s="4"/>
      <c r="BN15" s="4"/>
      <c r="BO15" s="4"/>
      <c r="BP15" s="4"/>
      <c r="BQ15" s="4"/>
      <c r="BR15" s="4"/>
      <c r="BS15" s="4"/>
      <c r="BT15" s="4"/>
      <c r="BU15" s="4"/>
    </row>
    <row r="16" spans="1:73" s="6" customFormat="1" ht="24" customHeight="1">
      <c r="A16" s="66">
        <v>10</v>
      </c>
      <c r="B16" s="67">
        <v>40000615</v>
      </c>
      <c r="C16" s="194" t="s">
        <v>115</v>
      </c>
      <c r="D16" s="69" t="s">
        <v>52</v>
      </c>
      <c r="E16" s="70" t="s">
        <v>52</v>
      </c>
      <c r="F16" s="70" t="s">
        <v>55</v>
      </c>
      <c r="G16" s="82" t="s">
        <v>44</v>
      </c>
      <c r="H16" s="78" t="s">
        <v>45</v>
      </c>
      <c r="I16" s="71" t="s">
        <v>45</v>
      </c>
      <c r="J16" s="71" t="s">
        <v>45</v>
      </c>
      <c r="K16" s="71" t="s">
        <v>45</v>
      </c>
      <c r="L16" s="71" t="s">
        <v>46</v>
      </c>
      <c r="M16" s="71" t="s">
        <v>54</v>
      </c>
      <c r="N16" s="71" t="s">
        <v>45</v>
      </c>
      <c r="O16" s="71" t="s">
        <v>45</v>
      </c>
      <c r="P16" s="71" t="s">
        <v>45</v>
      </c>
      <c r="Q16" s="71" t="s">
        <v>45</v>
      </c>
      <c r="R16" s="71" t="s">
        <v>56</v>
      </c>
      <c r="S16" s="71" t="s">
        <v>56</v>
      </c>
      <c r="T16" s="71" t="s">
        <v>46</v>
      </c>
      <c r="U16" s="71" t="s">
        <v>45</v>
      </c>
      <c r="V16" s="71" t="s">
        <v>45</v>
      </c>
      <c r="W16" s="71" t="s">
        <v>45</v>
      </c>
      <c r="X16" s="71" t="s">
        <v>45</v>
      </c>
      <c r="Y16" s="71" t="s">
        <v>46</v>
      </c>
      <c r="Z16" s="71" t="s">
        <v>46</v>
      </c>
      <c r="AA16" s="71" t="s">
        <v>54</v>
      </c>
      <c r="AB16" s="71" t="s">
        <v>45</v>
      </c>
      <c r="AC16" s="71" t="s">
        <v>45</v>
      </c>
      <c r="AD16" s="71" t="s">
        <v>45</v>
      </c>
      <c r="AE16" s="71" t="s">
        <v>45</v>
      </c>
      <c r="AF16" s="71" t="s">
        <v>56</v>
      </c>
      <c r="AG16" s="71" t="s">
        <v>56</v>
      </c>
      <c r="AH16" s="71" t="s">
        <v>45</v>
      </c>
      <c r="AI16" s="71" t="s">
        <v>45</v>
      </c>
      <c r="AJ16" s="71" t="s">
        <v>45</v>
      </c>
      <c r="AK16" s="71" t="s">
        <v>45</v>
      </c>
      <c r="AL16" s="74" t="s">
        <v>45</v>
      </c>
      <c r="AM16" s="139">
        <v>23</v>
      </c>
      <c r="AN16" s="71">
        <f t="shared" si="10"/>
        <v>23</v>
      </c>
      <c r="AO16" s="72">
        <f t="shared" si="11"/>
        <v>23</v>
      </c>
      <c r="AP16" s="141">
        <f t="shared" si="12"/>
        <v>27</v>
      </c>
      <c r="AQ16" s="74"/>
      <c r="AR16" s="73">
        <f t="shared" si="1"/>
        <v>0</v>
      </c>
      <c r="AS16" s="71">
        <f t="shared" si="2"/>
        <v>0</v>
      </c>
      <c r="AT16" s="71">
        <f t="shared" si="13"/>
        <v>0</v>
      </c>
      <c r="AU16" s="71">
        <f t="shared" si="3"/>
        <v>0</v>
      </c>
      <c r="AV16" s="74">
        <f t="shared" si="4"/>
        <v>0</v>
      </c>
      <c r="AW16" s="75">
        <v>19.5</v>
      </c>
      <c r="AX16" s="76">
        <v>4.5</v>
      </c>
      <c r="AY16" s="76">
        <v>16</v>
      </c>
      <c r="AZ16" s="77">
        <f t="shared" si="5"/>
        <v>8</v>
      </c>
      <c r="BA16" s="78"/>
      <c r="BB16" s="76">
        <f t="shared" si="14"/>
        <v>32</v>
      </c>
      <c r="BC16" s="77">
        <f t="shared" si="17"/>
        <v>0</v>
      </c>
      <c r="BD16" s="79" t="s">
        <v>58</v>
      </c>
      <c r="BE16" s="80"/>
      <c r="BF16" s="81">
        <f t="shared" si="6"/>
        <v>4</v>
      </c>
      <c r="BG16" s="81">
        <f t="shared" si="7"/>
        <v>4</v>
      </c>
      <c r="BH16" s="81">
        <f t="shared" si="8"/>
        <v>0</v>
      </c>
      <c r="BI16" s="81">
        <f t="shared" si="9"/>
        <v>0</v>
      </c>
      <c r="BJ16" s="81">
        <f t="shared" si="15"/>
        <v>0</v>
      </c>
      <c r="BK16" s="4">
        <f t="shared" si="16"/>
        <v>8</v>
      </c>
      <c r="BL16" s="4"/>
      <c r="BM16" s="4"/>
      <c r="BN16" s="4"/>
      <c r="BO16" s="4"/>
      <c r="BP16" s="4"/>
      <c r="BQ16" s="4"/>
      <c r="BR16" s="4"/>
      <c r="BS16" s="4"/>
      <c r="BT16" s="4"/>
      <c r="BU16" s="4"/>
    </row>
    <row r="17" spans="1:73" s="8" customFormat="1" ht="24" customHeight="1">
      <c r="A17" s="66">
        <v>11</v>
      </c>
      <c r="B17" s="67">
        <v>40000615</v>
      </c>
      <c r="C17" s="194" t="s">
        <v>116</v>
      </c>
      <c r="D17" s="69" t="s">
        <v>52</v>
      </c>
      <c r="E17" s="70" t="s">
        <v>52</v>
      </c>
      <c r="F17" s="70" t="s">
        <v>55</v>
      </c>
      <c r="G17" s="82" t="s">
        <v>44</v>
      </c>
      <c r="H17" s="78" t="s">
        <v>45</v>
      </c>
      <c r="I17" s="71" t="s">
        <v>45</v>
      </c>
      <c r="J17" s="71" t="s">
        <v>45</v>
      </c>
      <c r="K17" s="71" t="s">
        <v>46</v>
      </c>
      <c r="L17" s="71" t="s">
        <v>46</v>
      </c>
      <c r="M17" s="71" t="s">
        <v>45</v>
      </c>
      <c r="N17" s="71" t="s">
        <v>45</v>
      </c>
      <c r="O17" s="71" t="s">
        <v>45</v>
      </c>
      <c r="P17" s="71" t="s">
        <v>45</v>
      </c>
      <c r="Q17" s="71" t="s">
        <v>45</v>
      </c>
      <c r="R17" s="71" t="s">
        <v>56</v>
      </c>
      <c r="S17" s="71" t="s">
        <v>46</v>
      </c>
      <c r="T17" s="71" t="s">
        <v>45</v>
      </c>
      <c r="U17" s="71" t="s">
        <v>45</v>
      </c>
      <c r="V17" s="71" t="s">
        <v>45</v>
      </c>
      <c r="W17" s="71" t="s">
        <v>45</v>
      </c>
      <c r="X17" s="71" t="s">
        <v>45</v>
      </c>
      <c r="Y17" s="71" t="s">
        <v>45</v>
      </c>
      <c r="Z17" s="71" t="s">
        <v>56</v>
      </c>
      <c r="AA17" s="71" t="s">
        <v>45</v>
      </c>
      <c r="AB17" s="71" t="s">
        <v>45</v>
      </c>
      <c r="AC17" s="71" t="s">
        <v>45</v>
      </c>
      <c r="AD17" s="71" t="s">
        <v>45</v>
      </c>
      <c r="AE17" s="71" t="s">
        <v>45</v>
      </c>
      <c r="AF17" s="71" t="s">
        <v>56</v>
      </c>
      <c r="AG17" s="71" t="s">
        <v>56</v>
      </c>
      <c r="AH17" s="71" t="s">
        <v>46</v>
      </c>
      <c r="AI17" s="71" t="s">
        <v>45</v>
      </c>
      <c r="AJ17" s="71" t="s">
        <v>45</v>
      </c>
      <c r="AK17" s="71" t="s">
        <v>45</v>
      </c>
      <c r="AL17" s="74" t="s">
        <v>45</v>
      </c>
      <c r="AM17" s="139">
        <v>23</v>
      </c>
      <c r="AN17" s="71">
        <f t="shared" si="10"/>
        <v>23</v>
      </c>
      <c r="AO17" s="72">
        <f t="shared" si="11"/>
        <v>23</v>
      </c>
      <c r="AP17" s="141">
        <f t="shared" si="12"/>
        <v>27</v>
      </c>
      <c r="AQ17" s="74"/>
      <c r="AR17" s="73">
        <f t="shared" si="1"/>
        <v>0</v>
      </c>
      <c r="AS17" s="71">
        <f t="shared" si="2"/>
        <v>0</v>
      </c>
      <c r="AT17" s="71">
        <f t="shared" si="13"/>
        <v>0</v>
      </c>
      <c r="AU17" s="71">
        <f t="shared" si="3"/>
        <v>0</v>
      </c>
      <c r="AV17" s="74">
        <f t="shared" si="4"/>
        <v>0</v>
      </c>
      <c r="AW17" s="75">
        <v>4</v>
      </c>
      <c r="AX17" s="76">
        <v>1.5</v>
      </c>
      <c r="AY17" s="76"/>
      <c r="AZ17" s="77">
        <f t="shared" si="5"/>
        <v>5.5</v>
      </c>
      <c r="BA17" s="78"/>
      <c r="BB17" s="76">
        <f t="shared" si="14"/>
        <v>32</v>
      </c>
      <c r="BC17" s="77">
        <f t="shared" si="17"/>
        <v>0</v>
      </c>
      <c r="BD17" s="79" t="s">
        <v>58</v>
      </c>
      <c r="BE17" s="80"/>
      <c r="BF17" s="81">
        <f t="shared" si="6"/>
        <v>4</v>
      </c>
      <c r="BG17" s="81">
        <f t="shared" si="7"/>
        <v>4</v>
      </c>
      <c r="BH17" s="81">
        <f t="shared" si="8"/>
        <v>0</v>
      </c>
      <c r="BI17" s="81">
        <f t="shared" si="9"/>
        <v>0</v>
      </c>
      <c r="BJ17" s="81">
        <f t="shared" si="15"/>
        <v>0</v>
      </c>
      <c r="BK17" s="4">
        <f t="shared" si="16"/>
        <v>8</v>
      </c>
      <c r="BL17" s="4"/>
      <c r="BM17" s="4"/>
      <c r="BN17" s="4"/>
      <c r="BO17" s="4"/>
      <c r="BP17" s="4"/>
      <c r="BQ17" s="4"/>
      <c r="BR17" s="4"/>
      <c r="BS17" s="4"/>
      <c r="BT17" s="4"/>
      <c r="BU17" s="4"/>
    </row>
    <row r="18" spans="1:73" s="9" customFormat="1" ht="24" customHeight="1">
      <c r="A18" s="66">
        <v>12</v>
      </c>
      <c r="B18" s="67">
        <v>40000615</v>
      </c>
      <c r="C18" s="194" t="s">
        <v>117</v>
      </c>
      <c r="D18" s="69" t="s">
        <v>52</v>
      </c>
      <c r="E18" s="70" t="s">
        <v>52</v>
      </c>
      <c r="F18" s="70" t="s">
        <v>55</v>
      </c>
      <c r="G18" s="82" t="s">
        <v>44</v>
      </c>
      <c r="H18" s="78" t="s">
        <v>45</v>
      </c>
      <c r="I18" s="71" t="s">
        <v>45</v>
      </c>
      <c r="J18" s="71" t="s">
        <v>45</v>
      </c>
      <c r="K18" s="71" t="s">
        <v>56</v>
      </c>
      <c r="L18" s="71" t="s">
        <v>56</v>
      </c>
      <c r="M18" s="71" t="s">
        <v>45</v>
      </c>
      <c r="N18" s="71" t="s">
        <v>54</v>
      </c>
      <c r="O18" s="71" t="s">
        <v>45</v>
      </c>
      <c r="P18" s="71" t="s">
        <v>45</v>
      </c>
      <c r="Q18" s="71" t="s">
        <v>45</v>
      </c>
      <c r="R18" s="71" t="s">
        <v>56</v>
      </c>
      <c r="S18" s="71" t="s">
        <v>56</v>
      </c>
      <c r="T18" s="71" t="s">
        <v>45</v>
      </c>
      <c r="U18" s="71" t="s">
        <v>46</v>
      </c>
      <c r="V18" s="71" t="s">
        <v>45</v>
      </c>
      <c r="W18" s="71" t="s">
        <v>45</v>
      </c>
      <c r="X18" s="71" t="s">
        <v>45</v>
      </c>
      <c r="Y18" s="71" t="s">
        <v>45</v>
      </c>
      <c r="Z18" s="71" t="s">
        <v>45</v>
      </c>
      <c r="AA18" s="71" t="s">
        <v>46</v>
      </c>
      <c r="AB18" s="71" t="s">
        <v>45</v>
      </c>
      <c r="AC18" s="71" t="s">
        <v>45</v>
      </c>
      <c r="AD18" s="71" t="s">
        <v>45</v>
      </c>
      <c r="AE18" s="71" t="s">
        <v>46</v>
      </c>
      <c r="AF18" s="71" t="s">
        <v>46</v>
      </c>
      <c r="AG18" s="71" t="s">
        <v>45</v>
      </c>
      <c r="AH18" s="71" t="s">
        <v>45</v>
      </c>
      <c r="AI18" s="71" t="s">
        <v>45</v>
      </c>
      <c r="AJ18" s="71" t="s">
        <v>45</v>
      </c>
      <c r="AK18" s="71" t="s">
        <v>45</v>
      </c>
      <c r="AL18" s="74" t="s">
        <v>45</v>
      </c>
      <c r="AM18" s="139">
        <v>23</v>
      </c>
      <c r="AN18" s="71">
        <f t="shared" si="10"/>
        <v>23</v>
      </c>
      <c r="AO18" s="72">
        <f t="shared" si="11"/>
        <v>23</v>
      </c>
      <c r="AP18" s="141">
        <f t="shared" si="12"/>
        <v>27</v>
      </c>
      <c r="AQ18" s="74"/>
      <c r="AR18" s="73">
        <f t="shared" si="1"/>
        <v>0</v>
      </c>
      <c r="AS18" s="71">
        <f t="shared" si="2"/>
        <v>0</v>
      </c>
      <c r="AT18" s="71">
        <f t="shared" si="13"/>
        <v>0</v>
      </c>
      <c r="AU18" s="71">
        <f t="shared" si="3"/>
        <v>0</v>
      </c>
      <c r="AV18" s="74">
        <f t="shared" si="4"/>
        <v>0</v>
      </c>
      <c r="AW18" s="75">
        <v>10.5</v>
      </c>
      <c r="AX18" s="76"/>
      <c r="AY18" s="76">
        <v>8</v>
      </c>
      <c r="AZ18" s="77">
        <f t="shared" si="5"/>
        <v>2.5</v>
      </c>
      <c r="BA18" s="78"/>
      <c r="BB18" s="76">
        <f t="shared" si="14"/>
        <v>32</v>
      </c>
      <c r="BC18" s="77">
        <f t="shared" si="17"/>
        <v>0</v>
      </c>
      <c r="BD18" s="79" t="s">
        <v>58</v>
      </c>
      <c r="BE18" s="80"/>
      <c r="BF18" s="81">
        <f t="shared" si="6"/>
        <v>4</v>
      </c>
      <c r="BG18" s="81">
        <f t="shared" si="7"/>
        <v>4</v>
      </c>
      <c r="BH18" s="81">
        <f t="shared" si="8"/>
        <v>0</v>
      </c>
      <c r="BI18" s="81">
        <f t="shared" si="9"/>
        <v>0</v>
      </c>
      <c r="BJ18" s="81">
        <f t="shared" si="15"/>
        <v>0</v>
      </c>
      <c r="BK18" s="4">
        <f t="shared" si="16"/>
        <v>8</v>
      </c>
      <c r="BL18" s="4"/>
      <c r="BM18" s="4"/>
      <c r="BN18" s="4"/>
      <c r="BO18" s="4"/>
      <c r="BP18" s="4"/>
      <c r="BQ18" s="4"/>
      <c r="BR18" s="4"/>
      <c r="BS18" s="4"/>
      <c r="BT18" s="4"/>
      <c r="BU18" s="4"/>
    </row>
    <row r="19" spans="1:73" s="9" customFormat="1" ht="24" customHeight="1">
      <c r="A19" s="66">
        <v>13</v>
      </c>
      <c r="B19" s="67">
        <v>40000615</v>
      </c>
      <c r="C19" s="194" t="s">
        <v>118</v>
      </c>
      <c r="D19" s="69" t="s">
        <v>52</v>
      </c>
      <c r="E19" s="70" t="s">
        <v>52</v>
      </c>
      <c r="F19" s="70" t="s">
        <v>55</v>
      </c>
      <c r="G19" s="82" t="s">
        <v>44</v>
      </c>
      <c r="H19" s="78" t="s">
        <v>46</v>
      </c>
      <c r="I19" s="71" t="s">
        <v>45</v>
      </c>
      <c r="J19" s="71" t="s">
        <v>45</v>
      </c>
      <c r="K19" s="71" t="s">
        <v>56</v>
      </c>
      <c r="L19" s="71" t="s">
        <v>56</v>
      </c>
      <c r="M19" s="71" t="s">
        <v>45</v>
      </c>
      <c r="N19" s="71" t="s">
        <v>45</v>
      </c>
      <c r="O19" s="71" t="s">
        <v>45</v>
      </c>
      <c r="P19" s="71" t="s">
        <v>45</v>
      </c>
      <c r="Q19" s="71" t="s">
        <v>45</v>
      </c>
      <c r="R19" s="71" t="s">
        <v>45</v>
      </c>
      <c r="S19" s="71" t="s">
        <v>46</v>
      </c>
      <c r="T19" s="71" t="s">
        <v>46</v>
      </c>
      <c r="U19" s="71" t="s">
        <v>45</v>
      </c>
      <c r="V19" s="71" t="s">
        <v>45</v>
      </c>
      <c r="W19" s="71" t="s">
        <v>45</v>
      </c>
      <c r="X19" s="71" t="s">
        <v>45</v>
      </c>
      <c r="Y19" s="71" t="s">
        <v>56</v>
      </c>
      <c r="Z19" s="71" t="s">
        <v>56</v>
      </c>
      <c r="AA19" s="71" t="s">
        <v>45</v>
      </c>
      <c r="AB19" s="71" t="s">
        <v>45</v>
      </c>
      <c r="AC19" s="71" t="s">
        <v>45</v>
      </c>
      <c r="AD19" s="71" t="s">
        <v>45</v>
      </c>
      <c r="AE19" s="71" t="s">
        <v>45</v>
      </c>
      <c r="AF19" s="71" t="s">
        <v>45</v>
      </c>
      <c r="AG19" s="71" t="s">
        <v>45</v>
      </c>
      <c r="AH19" s="71" t="s">
        <v>45</v>
      </c>
      <c r="AI19" s="71" t="s">
        <v>46</v>
      </c>
      <c r="AJ19" s="71" t="s">
        <v>45</v>
      </c>
      <c r="AK19" s="71" t="s">
        <v>45</v>
      </c>
      <c r="AL19" s="74" t="s">
        <v>45</v>
      </c>
      <c r="AM19" s="139">
        <v>23</v>
      </c>
      <c r="AN19" s="71">
        <f t="shared" ref="AN19:AN34" si="18">COUNTIF(H19:AL19,"N")+COUNTIF(H19:AL19,"A")+COUNTIF(H19:AL19,"B")+COUNTIF(H19:AL19,"C")+COUNTIF(H19:AL19,"E")+COUNTIF(H19:AL19,"F")+COUNTIF(H19:AL19,"CR")+COUNTIF(H19:AL19,"AR")+COUNTIF(H19:AL19,"D")+COUNTIF(H19:AL19,"BT")+COUNTIF(H19:AL19,"CL")+COUNTIF(H19:AL19,"AL")+COUNTIF(H19:AL19,"H")+COUNTIF(H19:AL19,"I")+COUNTIF(H19:AL19,"X")+COUNTIF(H19:AL19,"MRL")+COUNTIF(H19:AL19,"MTL")+COUNTIF(H19:AL19,"FL")+COUNTIF(H19:AL19,"LSL")+COUNTIF(H19:AL19,"HO")+COUNTIF(H19:AL19,"Q")+COUNTIF(H19:AL19,"W")+COUNTIF(H19:AL19,"P")+COUNTIF(H19:AL19,"U")</f>
        <v>23</v>
      </c>
      <c r="AO19" s="72">
        <f t="shared" si="11"/>
        <v>23</v>
      </c>
      <c r="AP19" s="141">
        <f t="shared" ref="AP19:AP34" si="19">COUNTIF(H19:AL19,"N")+COUNTIF(H19:AL19,"A")+COUNTIF(H19:AL19,"B")+COUNTIF(H19:AL19,"C")+COUNTIF(H19:AL19,"O")+COUNTIF(H19:AL19,"HO")+COUNTIF(H19:AL19,"E")+COUNTIF(H19:AL19,"CE")+COUNTIF(H19:AL19,"CR")+COUNTIF(H19:AL19,"AR")+COUNTIF(H19:AL19,"D")+COUNTIF(H19:AL19,"BT")+COUNTIF(H19:AL19,"CL")+COUNTIF(H19:AL19,"AL")+COUNTIF(H19:AL19,"G")+COUNTIF(H19:AL19,"F")+COUNTIF(H19:AL19,"P")+COUNTIF(H19:AL19,"BT")</f>
        <v>27</v>
      </c>
      <c r="AQ19" s="74"/>
      <c r="AR19" s="73">
        <f t="shared" ref="AR19:AR33" si="20">COUNTIF(H19:AL19,"LSL")</f>
        <v>0</v>
      </c>
      <c r="AS19" s="71">
        <f t="shared" ref="AS19:AS33" si="21">COUNTIF(H19:AL19,"W")</f>
        <v>0</v>
      </c>
      <c r="AT19" s="71">
        <f t="shared" ref="AT19:AT33" si="22">COUNTIF(H19:AL19,"U")</f>
        <v>0</v>
      </c>
      <c r="AU19" s="71">
        <f t="shared" ref="AU19:AU33" si="23">COUNTIF(H19:AL19,"X")</f>
        <v>0</v>
      </c>
      <c r="AV19" s="74">
        <f t="shared" ref="AV19:AV33" si="24">COUNTIF(H19:AL19,"I")</f>
        <v>0</v>
      </c>
      <c r="AW19" s="75">
        <v>6</v>
      </c>
      <c r="AX19" s="76"/>
      <c r="AY19" s="76"/>
      <c r="AZ19" s="77">
        <f t="shared" ref="AZ19:AZ33" si="25">AW19+AX19-AY19</f>
        <v>6</v>
      </c>
      <c r="BA19" s="78"/>
      <c r="BB19" s="76">
        <f t="shared" si="14"/>
        <v>32</v>
      </c>
      <c r="BC19" s="77">
        <f t="shared" si="17"/>
        <v>0</v>
      </c>
      <c r="BD19" s="79" t="s">
        <v>59</v>
      </c>
      <c r="BE19" s="80"/>
      <c r="BF19" s="81"/>
      <c r="BG19" s="81"/>
      <c r="BH19" s="81"/>
      <c r="BI19" s="81"/>
      <c r="BJ19" s="81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</row>
    <row r="20" spans="1:73" s="9" customFormat="1" ht="24" customHeight="1">
      <c r="A20" s="66">
        <v>14</v>
      </c>
      <c r="B20" s="67">
        <v>40000615</v>
      </c>
      <c r="C20" s="194" t="s">
        <v>119</v>
      </c>
      <c r="D20" s="69" t="s">
        <v>52</v>
      </c>
      <c r="E20" s="70" t="s">
        <v>52</v>
      </c>
      <c r="F20" s="70" t="s">
        <v>55</v>
      </c>
      <c r="G20" s="82" t="s">
        <v>44</v>
      </c>
      <c r="H20" s="78" t="s">
        <v>45</v>
      </c>
      <c r="I20" s="71" t="s">
        <v>46</v>
      </c>
      <c r="J20" s="71" t="s">
        <v>46</v>
      </c>
      <c r="K20" s="71" t="s">
        <v>56</v>
      </c>
      <c r="L20" s="71" t="s">
        <v>56</v>
      </c>
      <c r="M20" s="71" t="s">
        <v>45</v>
      </c>
      <c r="N20" s="71" t="s">
        <v>45</v>
      </c>
      <c r="O20" s="71" t="s">
        <v>45</v>
      </c>
      <c r="P20" s="71" t="s">
        <v>45</v>
      </c>
      <c r="Q20" s="71" t="s">
        <v>45</v>
      </c>
      <c r="R20" s="71" t="s">
        <v>45</v>
      </c>
      <c r="S20" s="71" t="s">
        <v>45</v>
      </c>
      <c r="T20" s="71" t="s">
        <v>46</v>
      </c>
      <c r="U20" s="71" t="s">
        <v>45</v>
      </c>
      <c r="V20" s="71" t="s">
        <v>45</v>
      </c>
      <c r="W20" s="71" t="s">
        <v>45</v>
      </c>
      <c r="X20" s="71" t="s">
        <v>45</v>
      </c>
      <c r="Y20" s="71" t="s">
        <v>56</v>
      </c>
      <c r="Z20" s="71" t="s">
        <v>56</v>
      </c>
      <c r="AA20" s="71" t="s">
        <v>45</v>
      </c>
      <c r="AB20" s="71" t="s">
        <v>45</v>
      </c>
      <c r="AC20" s="71" t="s">
        <v>46</v>
      </c>
      <c r="AD20" s="71" t="s">
        <v>45</v>
      </c>
      <c r="AE20" s="71" t="s">
        <v>45</v>
      </c>
      <c r="AF20" s="71" t="s">
        <v>45</v>
      </c>
      <c r="AG20" s="71" t="s">
        <v>45</v>
      </c>
      <c r="AH20" s="71" t="s">
        <v>45</v>
      </c>
      <c r="AI20" s="71" t="s">
        <v>45</v>
      </c>
      <c r="AJ20" s="71" t="s">
        <v>45</v>
      </c>
      <c r="AK20" s="71" t="s">
        <v>45</v>
      </c>
      <c r="AL20" s="74" t="s">
        <v>45</v>
      </c>
      <c r="AM20" s="139">
        <v>23</v>
      </c>
      <c r="AN20" s="71">
        <f t="shared" si="18"/>
        <v>23</v>
      </c>
      <c r="AO20" s="72">
        <f t="shared" si="11"/>
        <v>23</v>
      </c>
      <c r="AP20" s="141">
        <f t="shared" si="19"/>
        <v>27</v>
      </c>
      <c r="AQ20" s="74"/>
      <c r="AR20" s="73">
        <f t="shared" si="20"/>
        <v>0</v>
      </c>
      <c r="AS20" s="71">
        <f t="shared" si="21"/>
        <v>0</v>
      </c>
      <c r="AT20" s="71">
        <f t="shared" si="22"/>
        <v>0</v>
      </c>
      <c r="AU20" s="71">
        <f t="shared" si="23"/>
        <v>0</v>
      </c>
      <c r="AV20" s="74">
        <f t="shared" si="24"/>
        <v>0</v>
      </c>
      <c r="AW20" s="75">
        <v>0</v>
      </c>
      <c r="AX20" s="76"/>
      <c r="AY20" s="76"/>
      <c r="AZ20" s="77">
        <f t="shared" si="25"/>
        <v>0</v>
      </c>
      <c r="BA20" s="78"/>
      <c r="BB20" s="76">
        <f t="shared" si="14"/>
        <v>32</v>
      </c>
      <c r="BC20" s="77">
        <f t="shared" si="17"/>
        <v>0</v>
      </c>
      <c r="BD20" s="79" t="s">
        <v>59</v>
      </c>
      <c r="BE20" s="80"/>
      <c r="BF20" s="81"/>
      <c r="BG20" s="81"/>
      <c r="BH20" s="81"/>
      <c r="BI20" s="81"/>
      <c r="BJ20" s="81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</row>
    <row r="21" spans="1:73" s="9" customFormat="1" ht="24" customHeight="1">
      <c r="A21" s="66">
        <v>15</v>
      </c>
      <c r="B21" s="67">
        <v>40000615</v>
      </c>
      <c r="C21" s="194" t="s">
        <v>120</v>
      </c>
      <c r="D21" s="69" t="s">
        <v>52</v>
      </c>
      <c r="E21" s="70" t="s">
        <v>52</v>
      </c>
      <c r="F21" s="70" t="s">
        <v>55</v>
      </c>
      <c r="G21" s="82" t="s">
        <v>44</v>
      </c>
      <c r="H21" s="78" t="s">
        <v>45</v>
      </c>
      <c r="I21" s="71" t="s">
        <v>45</v>
      </c>
      <c r="J21" s="71" t="s">
        <v>45</v>
      </c>
      <c r="K21" s="71" t="s">
        <v>46</v>
      </c>
      <c r="L21" s="71" t="s">
        <v>46</v>
      </c>
      <c r="M21" s="71" t="s">
        <v>45</v>
      </c>
      <c r="N21" s="71" t="s">
        <v>45</v>
      </c>
      <c r="O21" s="71" t="s">
        <v>45</v>
      </c>
      <c r="P21" s="71" t="s">
        <v>45</v>
      </c>
      <c r="Q21" s="71" t="s">
        <v>45</v>
      </c>
      <c r="R21" s="71" t="s">
        <v>56</v>
      </c>
      <c r="S21" s="71" t="s">
        <v>56</v>
      </c>
      <c r="T21" s="71" t="s">
        <v>45</v>
      </c>
      <c r="U21" s="71" t="s">
        <v>45</v>
      </c>
      <c r="V21" s="71" t="s">
        <v>46</v>
      </c>
      <c r="W21" s="71" t="s">
        <v>45</v>
      </c>
      <c r="X21" s="71" t="s">
        <v>45</v>
      </c>
      <c r="Y21" s="71" t="s">
        <v>56</v>
      </c>
      <c r="Z21" s="71" t="s">
        <v>56</v>
      </c>
      <c r="AA21" s="71" t="s">
        <v>45</v>
      </c>
      <c r="AB21" s="71" t="s">
        <v>45</v>
      </c>
      <c r="AC21" s="71" t="s">
        <v>45</v>
      </c>
      <c r="AD21" s="71" t="s">
        <v>45</v>
      </c>
      <c r="AE21" s="71" t="s">
        <v>46</v>
      </c>
      <c r="AF21" s="71" t="s">
        <v>45</v>
      </c>
      <c r="AG21" s="71" t="s">
        <v>45</v>
      </c>
      <c r="AH21" s="71" t="s">
        <v>45</v>
      </c>
      <c r="AI21" s="71" t="s">
        <v>45</v>
      </c>
      <c r="AJ21" s="71" t="s">
        <v>45</v>
      </c>
      <c r="AK21" s="71" t="s">
        <v>45</v>
      </c>
      <c r="AL21" s="74" t="s">
        <v>45</v>
      </c>
      <c r="AM21" s="139">
        <v>23</v>
      </c>
      <c r="AN21" s="71">
        <f t="shared" si="18"/>
        <v>23</v>
      </c>
      <c r="AO21" s="72">
        <f t="shared" si="11"/>
        <v>23</v>
      </c>
      <c r="AP21" s="141">
        <f t="shared" si="19"/>
        <v>27</v>
      </c>
      <c r="AQ21" s="74"/>
      <c r="AR21" s="73">
        <f t="shared" si="20"/>
        <v>0</v>
      </c>
      <c r="AS21" s="71">
        <f t="shared" si="21"/>
        <v>0</v>
      </c>
      <c r="AT21" s="71">
        <f t="shared" si="22"/>
        <v>0</v>
      </c>
      <c r="AU21" s="71">
        <f t="shared" si="23"/>
        <v>0</v>
      </c>
      <c r="AV21" s="74">
        <f t="shared" si="24"/>
        <v>0</v>
      </c>
      <c r="AW21" s="75">
        <v>0</v>
      </c>
      <c r="AX21" s="76"/>
      <c r="AY21" s="76"/>
      <c r="AZ21" s="77">
        <f t="shared" si="25"/>
        <v>0</v>
      </c>
      <c r="BA21" s="78"/>
      <c r="BB21" s="76">
        <f t="shared" si="14"/>
        <v>32</v>
      </c>
      <c r="BC21" s="77">
        <f t="shared" si="17"/>
        <v>0</v>
      </c>
      <c r="BD21" s="79" t="s">
        <v>50</v>
      </c>
      <c r="BE21" s="80"/>
      <c r="BF21" s="81"/>
      <c r="BG21" s="81"/>
      <c r="BH21" s="81"/>
      <c r="BI21" s="81"/>
      <c r="BJ21" s="81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</row>
    <row r="22" spans="1:73" s="9" customFormat="1" ht="24" customHeight="1">
      <c r="A22" s="66">
        <v>16</v>
      </c>
      <c r="B22" s="67">
        <v>40000615</v>
      </c>
      <c r="C22" s="194" t="s">
        <v>121</v>
      </c>
      <c r="D22" s="69" t="s">
        <v>61</v>
      </c>
      <c r="E22" s="70" t="s">
        <v>61</v>
      </c>
      <c r="F22" s="70" t="s">
        <v>62</v>
      </c>
      <c r="G22" s="82" t="s">
        <v>44</v>
      </c>
      <c r="H22" s="78" t="s">
        <v>45</v>
      </c>
      <c r="I22" s="71" t="s">
        <v>45</v>
      </c>
      <c r="J22" s="71" t="s">
        <v>45</v>
      </c>
      <c r="K22" s="71" t="s">
        <v>46</v>
      </c>
      <c r="L22" s="71" t="s">
        <v>46</v>
      </c>
      <c r="M22" s="71" t="s">
        <v>45</v>
      </c>
      <c r="N22" s="71" t="s">
        <v>45</v>
      </c>
      <c r="O22" s="71" t="s">
        <v>45</v>
      </c>
      <c r="P22" s="71" t="s">
        <v>45</v>
      </c>
      <c r="Q22" s="71" t="s">
        <v>46</v>
      </c>
      <c r="R22" s="71" t="s">
        <v>46</v>
      </c>
      <c r="S22" s="71" t="s">
        <v>45</v>
      </c>
      <c r="T22" s="71" t="s">
        <v>45</v>
      </c>
      <c r="U22" s="71" t="s">
        <v>47</v>
      </c>
      <c r="V22" s="71" t="s">
        <v>45</v>
      </c>
      <c r="W22" s="71" t="s">
        <v>45</v>
      </c>
      <c r="X22" s="71" t="s">
        <v>46</v>
      </c>
      <c r="Y22" s="71" t="s">
        <v>46</v>
      </c>
      <c r="Z22" s="71" t="s">
        <v>45</v>
      </c>
      <c r="AA22" s="71" t="s">
        <v>45</v>
      </c>
      <c r="AB22" s="71" t="s">
        <v>45</v>
      </c>
      <c r="AC22" s="71" t="s">
        <v>45</v>
      </c>
      <c r="AD22" s="71" t="s">
        <v>45</v>
      </c>
      <c r="AE22" s="71" t="s">
        <v>45</v>
      </c>
      <c r="AF22" s="71" t="s">
        <v>46</v>
      </c>
      <c r="AG22" s="71" t="s">
        <v>46</v>
      </c>
      <c r="AH22" s="71" t="s">
        <v>45</v>
      </c>
      <c r="AI22" s="71" t="s">
        <v>45</v>
      </c>
      <c r="AJ22" s="71" t="s">
        <v>45</v>
      </c>
      <c r="AK22" s="71" t="s">
        <v>45</v>
      </c>
      <c r="AL22" s="74" t="s">
        <v>45</v>
      </c>
      <c r="AM22" s="139">
        <v>23</v>
      </c>
      <c r="AN22" s="71">
        <f t="shared" si="18"/>
        <v>23</v>
      </c>
      <c r="AO22" s="72">
        <f t="shared" si="11"/>
        <v>23</v>
      </c>
      <c r="AP22" s="141">
        <f t="shared" si="19"/>
        <v>24</v>
      </c>
      <c r="AQ22" s="74"/>
      <c r="AR22" s="73">
        <f t="shared" si="20"/>
        <v>0</v>
      </c>
      <c r="AS22" s="71">
        <f t="shared" si="21"/>
        <v>0</v>
      </c>
      <c r="AT22" s="71">
        <f t="shared" si="22"/>
        <v>0</v>
      </c>
      <c r="AU22" s="71">
        <f t="shared" si="23"/>
        <v>0</v>
      </c>
      <c r="AV22" s="74">
        <f t="shared" si="24"/>
        <v>0</v>
      </c>
      <c r="AW22" s="75">
        <v>12.5</v>
      </c>
      <c r="AX22" s="76"/>
      <c r="AY22" s="76"/>
      <c r="AZ22" s="77">
        <f t="shared" si="25"/>
        <v>12.5</v>
      </c>
      <c r="BA22" s="78"/>
      <c r="BB22" s="76">
        <f t="shared" si="14"/>
        <v>0</v>
      </c>
      <c r="BC22" s="77">
        <f t="shared" si="17"/>
        <v>0</v>
      </c>
      <c r="BD22" s="79" t="s">
        <v>50</v>
      </c>
      <c r="BE22" s="80"/>
      <c r="BF22" s="81"/>
      <c r="BG22" s="81"/>
      <c r="BH22" s="81"/>
      <c r="BI22" s="81"/>
      <c r="BJ22" s="81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</row>
    <row r="23" spans="1:73" s="9" customFormat="1" ht="24" customHeight="1">
      <c r="A23" s="66">
        <v>17</v>
      </c>
      <c r="B23" s="67">
        <v>40000615</v>
      </c>
      <c r="C23" s="194" t="s">
        <v>122</v>
      </c>
      <c r="D23" s="69" t="s">
        <v>61</v>
      </c>
      <c r="E23" s="70" t="s">
        <v>61</v>
      </c>
      <c r="F23" s="70" t="s">
        <v>62</v>
      </c>
      <c r="G23" s="82" t="s">
        <v>44</v>
      </c>
      <c r="H23" s="78" t="s">
        <v>45</v>
      </c>
      <c r="I23" s="71" t="s">
        <v>45</v>
      </c>
      <c r="J23" s="71" t="s">
        <v>45</v>
      </c>
      <c r="K23" s="71" t="s">
        <v>46</v>
      </c>
      <c r="L23" s="71" t="s">
        <v>46</v>
      </c>
      <c r="M23" s="71" t="s">
        <v>45</v>
      </c>
      <c r="N23" s="71" t="s">
        <v>45</v>
      </c>
      <c r="O23" s="71" t="s">
        <v>45</v>
      </c>
      <c r="P23" s="71" t="s">
        <v>45</v>
      </c>
      <c r="Q23" s="71" t="s">
        <v>45</v>
      </c>
      <c r="R23" s="71" t="s">
        <v>46</v>
      </c>
      <c r="S23" s="71" t="s">
        <v>46</v>
      </c>
      <c r="T23" s="71" t="s">
        <v>45</v>
      </c>
      <c r="U23" s="71" t="s">
        <v>47</v>
      </c>
      <c r="V23" s="71" t="s">
        <v>45</v>
      </c>
      <c r="W23" s="71" t="s">
        <v>45</v>
      </c>
      <c r="X23" s="71" t="s">
        <v>45</v>
      </c>
      <c r="Y23" s="71" t="s">
        <v>45</v>
      </c>
      <c r="Z23" s="71" t="s">
        <v>46</v>
      </c>
      <c r="AA23" s="71" t="s">
        <v>46</v>
      </c>
      <c r="AB23" s="71" t="s">
        <v>45</v>
      </c>
      <c r="AC23" s="71" t="s">
        <v>45</v>
      </c>
      <c r="AD23" s="71" t="s">
        <v>45</v>
      </c>
      <c r="AE23" s="71" t="s">
        <v>45</v>
      </c>
      <c r="AF23" s="71" t="s">
        <v>45</v>
      </c>
      <c r="AG23" s="71" t="s">
        <v>46</v>
      </c>
      <c r="AH23" s="71" t="s">
        <v>46</v>
      </c>
      <c r="AI23" s="71" t="s">
        <v>45</v>
      </c>
      <c r="AJ23" s="71" t="s">
        <v>45</v>
      </c>
      <c r="AK23" s="71" t="s">
        <v>45</v>
      </c>
      <c r="AL23" s="71" t="s">
        <v>45</v>
      </c>
      <c r="AM23" s="139">
        <v>23</v>
      </c>
      <c r="AN23" s="71">
        <f t="shared" si="18"/>
        <v>23</v>
      </c>
      <c r="AO23" s="72">
        <f t="shared" si="11"/>
        <v>23</v>
      </c>
      <c r="AP23" s="141">
        <f t="shared" si="19"/>
        <v>24</v>
      </c>
      <c r="AQ23" s="74"/>
      <c r="AR23" s="73">
        <f t="shared" si="20"/>
        <v>0</v>
      </c>
      <c r="AS23" s="71">
        <f t="shared" si="21"/>
        <v>0</v>
      </c>
      <c r="AT23" s="71">
        <f t="shared" si="22"/>
        <v>0</v>
      </c>
      <c r="AU23" s="71">
        <f t="shared" si="23"/>
        <v>0</v>
      </c>
      <c r="AV23" s="74">
        <f t="shared" si="24"/>
        <v>0</v>
      </c>
      <c r="AW23" s="75">
        <v>0.5</v>
      </c>
      <c r="AX23" s="76"/>
      <c r="AY23" s="76"/>
      <c r="AZ23" s="77">
        <f t="shared" si="25"/>
        <v>0.5</v>
      </c>
      <c r="BA23" s="78"/>
      <c r="BB23" s="76">
        <f t="shared" si="14"/>
        <v>0</v>
      </c>
      <c r="BC23" s="77">
        <f t="shared" si="17"/>
        <v>0</v>
      </c>
      <c r="BD23" s="79" t="s">
        <v>50</v>
      </c>
      <c r="BE23" s="80"/>
      <c r="BF23" s="81"/>
      <c r="BG23" s="81"/>
      <c r="BH23" s="81"/>
      <c r="BI23" s="81"/>
      <c r="BJ23" s="81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</row>
    <row r="24" spans="1:73" s="9" customFormat="1" ht="24" customHeight="1">
      <c r="A24" s="66">
        <v>18</v>
      </c>
      <c r="B24" s="67">
        <v>40000615</v>
      </c>
      <c r="C24" s="194" t="s">
        <v>123</v>
      </c>
      <c r="D24" s="69" t="s">
        <v>61</v>
      </c>
      <c r="E24" s="70" t="s">
        <v>61</v>
      </c>
      <c r="F24" s="70" t="s">
        <v>63</v>
      </c>
      <c r="G24" s="82" t="s">
        <v>44</v>
      </c>
      <c r="H24" s="78" t="s">
        <v>46</v>
      </c>
      <c r="I24" s="71" t="s">
        <v>46</v>
      </c>
      <c r="J24" s="71" t="s">
        <v>46</v>
      </c>
      <c r="K24" s="71" t="s">
        <v>56</v>
      </c>
      <c r="L24" s="71" t="s">
        <v>56</v>
      </c>
      <c r="M24" s="71" t="s">
        <v>45</v>
      </c>
      <c r="N24" s="71" t="s">
        <v>45</v>
      </c>
      <c r="O24" s="71" t="s">
        <v>45</v>
      </c>
      <c r="P24" s="71" t="s">
        <v>45</v>
      </c>
      <c r="Q24" s="71" t="s">
        <v>45</v>
      </c>
      <c r="R24" s="71" t="s">
        <v>45</v>
      </c>
      <c r="S24" s="71" t="s">
        <v>45</v>
      </c>
      <c r="T24" s="71" t="s">
        <v>45</v>
      </c>
      <c r="U24" s="71" t="s">
        <v>45</v>
      </c>
      <c r="V24" s="71" t="s">
        <v>45</v>
      </c>
      <c r="W24" s="71" t="s">
        <v>50</v>
      </c>
      <c r="X24" s="71" t="s">
        <v>50</v>
      </c>
      <c r="Y24" s="71" t="s">
        <v>50</v>
      </c>
      <c r="Z24" s="71" t="s">
        <v>50</v>
      </c>
      <c r="AA24" s="71" t="s">
        <v>50</v>
      </c>
      <c r="AB24" s="71" t="s">
        <v>50</v>
      </c>
      <c r="AC24" s="71" t="s">
        <v>50</v>
      </c>
      <c r="AD24" s="71" t="s">
        <v>45</v>
      </c>
      <c r="AE24" s="71" t="s">
        <v>46</v>
      </c>
      <c r="AF24" s="71" t="s">
        <v>56</v>
      </c>
      <c r="AG24" s="71" t="s">
        <v>56</v>
      </c>
      <c r="AH24" s="71" t="s">
        <v>45</v>
      </c>
      <c r="AI24" s="71" t="s">
        <v>45</v>
      </c>
      <c r="AJ24" s="71" t="s">
        <v>45</v>
      </c>
      <c r="AK24" s="71" t="s">
        <v>45</v>
      </c>
      <c r="AL24" s="74" t="s">
        <v>45</v>
      </c>
      <c r="AM24" s="139">
        <v>23</v>
      </c>
      <c r="AN24" s="71">
        <f t="shared" si="18"/>
        <v>23</v>
      </c>
      <c r="AO24" s="72">
        <f t="shared" si="11"/>
        <v>23</v>
      </c>
      <c r="AP24" s="141">
        <f t="shared" si="19"/>
        <v>27</v>
      </c>
      <c r="AQ24" s="74"/>
      <c r="AR24" s="73">
        <f t="shared" si="20"/>
        <v>0</v>
      </c>
      <c r="AS24" s="71">
        <f t="shared" si="21"/>
        <v>0</v>
      </c>
      <c r="AT24" s="71">
        <f t="shared" si="22"/>
        <v>0</v>
      </c>
      <c r="AU24" s="71">
        <f t="shared" si="23"/>
        <v>0</v>
      </c>
      <c r="AV24" s="74">
        <f t="shared" si="24"/>
        <v>0</v>
      </c>
      <c r="AW24" s="75">
        <v>12.5</v>
      </c>
      <c r="AX24" s="76"/>
      <c r="AY24" s="76"/>
      <c r="AZ24" s="77">
        <f t="shared" si="25"/>
        <v>12.5</v>
      </c>
      <c r="BA24" s="78"/>
      <c r="BB24" s="76">
        <f t="shared" si="14"/>
        <v>32</v>
      </c>
      <c r="BC24" s="77">
        <f t="shared" si="17"/>
        <v>0</v>
      </c>
      <c r="BD24" s="79" t="s">
        <v>50</v>
      </c>
      <c r="BE24" s="80"/>
      <c r="BF24" s="81"/>
      <c r="BG24" s="81"/>
      <c r="BH24" s="81"/>
      <c r="BI24" s="81"/>
      <c r="BJ24" s="81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</row>
    <row r="25" spans="1:73" s="9" customFormat="1" ht="24" customHeight="1">
      <c r="A25" s="66">
        <v>19</v>
      </c>
      <c r="B25" s="67">
        <v>40000615</v>
      </c>
      <c r="C25" s="194" t="s">
        <v>124</v>
      </c>
      <c r="D25" s="69" t="s">
        <v>61</v>
      </c>
      <c r="E25" s="70" t="s">
        <v>61</v>
      </c>
      <c r="F25" s="70" t="s">
        <v>63</v>
      </c>
      <c r="G25" s="82" t="s">
        <v>44</v>
      </c>
      <c r="H25" s="78" t="s">
        <v>45</v>
      </c>
      <c r="I25" s="71" t="s">
        <v>45</v>
      </c>
      <c r="J25" s="71" t="s">
        <v>45</v>
      </c>
      <c r="K25" s="71" t="s">
        <v>56</v>
      </c>
      <c r="L25" s="71" t="s">
        <v>56</v>
      </c>
      <c r="M25" s="71" t="s">
        <v>45</v>
      </c>
      <c r="N25" s="71" t="s">
        <v>46</v>
      </c>
      <c r="O25" s="71" t="s">
        <v>50</v>
      </c>
      <c r="P25" s="71" t="s">
        <v>50</v>
      </c>
      <c r="Q25" s="71" t="s">
        <v>50</v>
      </c>
      <c r="R25" s="71" t="s">
        <v>50</v>
      </c>
      <c r="S25" s="71" t="s">
        <v>50</v>
      </c>
      <c r="T25" s="71" t="s">
        <v>50</v>
      </c>
      <c r="U25" s="71" t="s">
        <v>50</v>
      </c>
      <c r="V25" s="71" t="s">
        <v>50</v>
      </c>
      <c r="W25" s="71" t="s">
        <v>45</v>
      </c>
      <c r="X25" s="71" t="s">
        <v>45</v>
      </c>
      <c r="Y25" s="71" t="s">
        <v>46</v>
      </c>
      <c r="Z25" s="71" t="s">
        <v>46</v>
      </c>
      <c r="AA25" s="71" t="s">
        <v>45</v>
      </c>
      <c r="AB25" s="71" t="s">
        <v>45</v>
      </c>
      <c r="AC25" s="71" t="s">
        <v>45</v>
      </c>
      <c r="AD25" s="71" t="s">
        <v>46</v>
      </c>
      <c r="AE25" s="71" t="s">
        <v>45</v>
      </c>
      <c r="AF25" s="71" t="s">
        <v>56</v>
      </c>
      <c r="AG25" s="71" t="s">
        <v>56</v>
      </c>
      <c r="AH25" s="71" t="s">
        <v>45</v>
      </c>
      <c r="AI25" s="71" t="s">
        <v>45</v>
      </c>
      <c r="AJ25" s="71" t="s">
        <v>45</v>
      </c>
      <c r="AK25" s="71" t="s">
        <v>45</v>
      </c>
      <c r="AL25" s="74" t="s">
        <v>45</v>
      </c>
      <c r="AM25" s="139">
        <v>23</v>
      </c>
      <c r="AN25" s="71">
        <f t="shared" si="18"/>
        <v>23</v>
      </c>
      <c r="AO25" s="72">
        <f t="shared" si="11"/>
        <v>23</v>
      </c>
      <c r="AP25" s="141">
        <f t="shared" si="19"/>
        <v>27</v>
      </c>
      <c r="AQ25" s="74"/>
      <c r="AR25" s="73">
        <f t="shared" si="20"/>
        <v>0</v>
      </c>
      <c r="AS25" s="71">
        <f t="shared" si="21"/>
        <v>0</v>
      </c>
      <c r="AT25" s="71">
        <f t="shared" si="22"/>
        <v>0</v>
      </c>
      <c r="AU25" s="71">
        <f t="shared" si="23"/>
        <v>0</v>
      </c>
      <c r="AV25" s="74">
        <f t="shared" si="24"/>
        <v>0</v>
      </c>
      <c r="AW25" s="75">
        <v>1</v>
      </c>
      <c r="AX25" s="76"/>
      <c r="AY25" s="76"/>
      <c r="AZ25" s="77">
        <f t="shared" si="25"/>
        <v>1</v>
      </c>
      <c r="BA25" s="78"/>
      <c r="BB25" s="76">
        <f t="shared" si="14"/>
        <v>32</v>
      </c>
      <c r="BC25" s="77">
        <f t="shared" si="17"/>
        <v>0</v>
      </c>
      <c r="BD25" s="79" t="s">
        <v>50</v>
      </c>
      <c r="BE25" s="80"/>
      <c r="BF25" s="81"/>
      <c r="BG25" s="81"/>
      <c r="BH25" s="81"/>
      <c r="BI25" s="81"/>
      <c r="BJ25" s="81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</row>
    <row r="26" spans="1:73" s="9" customFormat="1" ht="24" customHeight="1">
      <c r="A26" s="66">
        <v>20</v>
      </c>
      <c r="B26" s="67">
        <v>40000615</v>
      </c>
      <c r="C26" s="194" t="s">
        <v>125</v>
      </c>
      <c r="D26" s="69" t="s">
        <v>61</v>
      </c>
      <c r="E26" s="70" t="s">
        <v>61</v>
      </c>
      <c r="F26" s="70" t="s">
        <v>63</v>
      </c>
      <c r="G26" s="82" t="s">
        <v>44</v>
      </c>
      <c r="H26" s="78" t="s">
        <v>50</v>
      </c>
      <c r="I26" s="71" t="s">
        <v>50</v>
      </c>
      <c r="J26" s="71" t="s">
        <v>50</v>
      </c>
      <c r="K26" s="71" t="s">
        <v>50</v>
      </c>
      <c r="L26" s="71" t="s">
        <v>50</v>
      </c>
      <c r="M26" s="71" t="s">
        <v>50</v>
      </c>
      <c r="N26" s="71" t="s">
        <v>50</v>
      </c>
      <c r="O26" s="71" t="s">
        <v>46</v>
      </c>
      <c r="P26" s="71" t="s">
        <v>45</v>
      </c>
      <c r="Q26" s="71" t="s">
        <v>45</v>
      </c>
      <c r="R26" s="71" t="s">
        <v>56</v>
      </c>
      <c r="S26" s="71" t="s">
        <v>56</v>
      </c>
      <c r="T26" s="71" t="s">
        <v>45</v>
      </c>
      <c r="U26" s="71" t="s">
        <v>45</v>
      </c>
      <c r="V26" s="71" t="s">
        <v>45</v>
      </c>
      <c r="W26" s="71" t="s">
        <v>45</v>
      </c>
      <c r="X26" s="71" t="s">
        <v>45</v>
      </c>
      <c r="Y26" s="71" t="s">
        <v>45</v>
      </c>
      <c r="Z26" s="71" t="s">
        <v>45</v>
      </c>
      <c r="AA26" s="71" t="s">
        <v>45</v>
      </c>
      <c r="AB26" s="71" t="s">
        <v>45</v>
      </c>
      <c r="AC26" s="71" t="s">
        <v>45</v>
      </c>
      <c r="AD26" s="71" t="s">
        <v>45</v>
      </c>
      <c r="AE26" s="71" t="s">
        <v>45</v>
      </c>
      <c r="AF26" s="71" t="s">
        <v>56</v>
      </c>
      <c r="AG26" s="71" t="s">
        <v>56</v>
      </c>
      <c r="AH26" s="71" t="s">
        <v>45</v>
      </c>
      <c r="AI26" s="71" t="s">
        <v>45</v>
      </c>
      <c r="AJ26" s="71" t="s">
        <v>46</v>
      </c>
      <c r="AK26" s="71" t="s">
        <v>46</v>
      </c>
      <c r="AL26" s="74" t="s">
        <v>46</v>
      </c>
      <c r="AM26" s="139">
        <v>23</v>
      </c>
      <c r="AN26" s="71">
        <f t="shared" si="18"/>
        <v>23</v>
      </c>
      <c r="AO26" s="72">
        <f t="shared" si="11"/>
        <v>23</v>
      </c>
      <c r="AP26" s="141">
        <f t="shared" si="19"/>
        <v>27</v>
      </c>
      <c r="AQ26" s="74"/>
      <c r="AR26" s="73">
        <f t="shared" si="20"/>
        <v>0</v>
      </c>
      <c r="AS26" s="71">
        <f t="shared" si="21"/>
        <v>0</v>
      </c>
      <c r="AT26" s="71">
        <f t="shared" si="22"/>
        <v>0</v>
      </c>
      <c r="AU26" s="71">
        <f t="shared" si="23"/>
        <v>0</v>
      </c>
      <c r="AV26" s="74">
        <f t="shared" si="24"/>
        <v>0</v>
      </c>
      <c r="AW26" s="75">
        <v>11</v>
      </c>
      <c r="AX26" s="76"/>
      <c r="AY26" s="76"/>
      <c r="AZ26" s="77">
        <f t="shared" si="25"/>
        <v>11</v>
      </c>
      <c r="BA26" s="78"/>
      <c r="BB26" s="76">
        <f t="shared" si="14"/>
        <v>32</v>
      </c>
      <c r="BC26" s="77">
        <f t="shared" si="17"/>
        <v>0</v>
      </c>
      <c r="BD26" s="79" t="s">
        <v>58</v>
      </c>
      <c r="BE26" s="80"/>
      <c r="BF26" s="81"/>
      <c r="BG26" s="81"/>
      <c r="BH26" s="81"/>
      <c r="BI26" s="81"/>
      <c r="BJ26" s="81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</row>
    <row r="27" spans="1:73" s="9" customFormat="1" ht="24" customHeight="1">
      <c r="A27" s="66">
        <v>21</v>
      </c>
      <c r="B27" s="67">
        <v>40000615</v>
      </c>
      <c r="C27" s="194" t="s">
        <v>126</v>
      </c>
      <c r="D27" s="69" t="s">
        <v>61</v>
      </c>
      <c r="E27" s="70" t="s">
        <v>61</v>
      </c>
      <c r="F27" s="70" t="s">
        <v>63</v>
      </c>
      <c r="G27" s="82" t="s">
        <v>44</v>
      </c>
      <c r="H27" s="78" t="s">
        <v>45</v>
      </c>
      <c r="I27" s="71" t="s">
        <v>45</v>
      </c>
      <c r="J27" s="71" t="s">
        <v>45</v>
      </c>
      <c r="K27" s="71" t="s">
        <v>56</v>
      </c>
      <c r="L27" s="71" t="s">
        <v>46</v>
      </c>
      <c r="M27" s="71" t="s">
        <v>45</v>
      </c>
      <c r="N27" s="71" t="s">
        <v>45</v>
      </c>
      <c r="O27" s="71" t="s">
        <v>45</v>
      </c>
      <c r="P27" s="71" t="s">
        <v>45</v>
      </c>
      <c r="Q27" s="71" t="s">
        <v>45</v>
      </c>
      <c r="R27" s="71" t="s">
        <v>56</v>
      </c>
      <c r="S27" s="71" t="s">
        <v>46</v>
      </c>
      <c r="T27" s="71" t="s">
        <v>45</v>
      </c>
      <c r="U27" s="71" t="s">
        <v>45</v>
      </c>
      <c r="V27" s="71" t="s">
        <v>45</v>
      </c>
      <c r="W27" s="71" t="s">
        <v>45</v>
      </c>
      <c r="X27" s="71" t="s">
        <v>45</v>
      </c>
      <c r="Y27" s="71" t="s">
        <v>56</v>
      </c>
      <c r="Z27" s="71" t="s">
        <v>56</v>
      </c>
      <c r="AA27" s="71" t="s">
        <v>45</v>
      </c>
      <c r="AB27" s="71" t="s">
        <v>46</v>
      </c>
      <c r="AC27" s="71" t="s">
        <v>46</v>
      </c>
      <c r="AD27" s="71" t="s">
        <v>50</v>
      </c>
      <c r="AE27" s="71" t="s">
        <v>50</v>
      </c>
      <c r="AF27" s="71" t="s">
        <v>50</v>
      </c>
      <c r="AG27" s="71" t="s">
        <v>50</v>
      </c>
      <c r="AH27" s="71" t="s">
        <v>50</v>
      </c>
      <c r="AI27" s="71" t="s">
        <v>50</v>
      </c>
      <c r="AJ27" s="71" t="s">
        <v>50</v>
      </c>
      <c r="AK27" s="71" t="s">
        <v>50</v>
      </c>
      <c r="AL27" s="74" t="s">
        <v>50</v>
      </c>
      <c r="AM27" s="139">
        <v>23</v>
      </c>
      <c r="AN27" s="71">
        <f t="shared" si="18"/>
        <v>23</v>
      </c>
      <c r="AO27" s="72">
        <f t="shared" si="11"/>
        <v>23</v>
      </c>
      <c r="AP27" s="141">
        <f t="shared" si="19"/>
        <v>27</v>
      </c>
      <c r="AQ27" s="74"/>
      <c r="AR27" s="73">
        <f t="shared" si="20"/>
        <v>0</v>
      </c>
      <c r="AS27" s="71">
        <f t="shared" si="21"/>
        <v>0</v>
      </c>
      <c r="AT27" s="71">
        <f t="shared" si="22"/>
        <v>0</v>
      </c>
      <c r="AU27" s="71">
        <f t="shared" si="23"/>
        <v>0</v>
      </c>
      <c r="AV27" s="74">
        <f t="shared" si="24"/>
        <v>0</v>
      </c>
      <c r="AW27" s="75">
        <v>2.5</v>
      </c>
      <c r="AX27" s="76"/>
      <c r="AY27" s="76"/>
      <c r="AZ27" s="77">
        <f t="shared" si="25"/>
        <v>2.5</v>
      </c>
      <c r="BA27" s="78"/>
      <c r="BB27" s="76">
        <f t="shared" si="14"/>
        <v>32</v>
      </c>
      <c r="BC27" s="77">
        <f t="shared" si="17"/>
        <v>0</v>
      </c>
      <c r="BD27" s="79" t="s">
        <v>50</v>
      </c>
      <c r="BE27" s="80"/>
      <c r="BF27" s="81"/>
      <c r="BG27" s="81"/>
      <c r="BH27" s="81"/>
      <c r="BI27" s="81"/>
      <c r="BJ27" s="81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</row>
    <row r="28" spans="1:73" s="9" customFormat="1" ht="24" hidden="1" customHeight="1">
      <c r="A28" s="66">
        <v>22</v>
      </c>
      <c r="B28" s="67"/>
      <c r="C28" s="68"/>
      <c r="D28" s="69"/>
      <c r="E28" s="70"/>
      <c r="F28" s="70"/>
      <c r="G28" s="82"/>
      <c r="H28" s="78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4"/>
      <c r="AM28" s="139">
        <v>23</v>
      </c>
      <c r="AN28" s="71">
        <f t="shared" si="18"/>
        <v>0</v>
      </c>
      <c r="AO28" s="142">
        <f t="shared" si="11"/>
        <v>0</v>
      </c>
      <c r="AP28" s="141">
        <f t="shared" si="19"/>
        <v>0</v>
      </c>
      <c r="AQ28" s="74"/>
      <c r="AR28" s="73">
        <f t="shared" si="20"/>
        <v>0</v>
      </c>
      <c r="AS28" s="71">
        <f t="shared" si="21"/>
        <v>0</v>
      </c>
      <c r="AT28" s="71">
        <f t="shared" si="22"/>
        <v>0</v>
      </c>
      <c r="AU28" s="71">
        <f t="shared" si="23"/>
        <v>0</v>
      </c>
      <c r="AV28" s="74">
        <f t="shared" si="24"/>
        <v>0</v>
      </c>
      <c r="AW28" s="75">
        <v>12</v>
      </c>
      <c r="AX28" s="76"/>
      <c r="AY28" s="76"/>
      <c r="AZ28" s="77">
        <f t="shared" si="25"/>
        <v>12</v>
      </c>
      <c r="BA28" s="78"/>
      <c r="BB28" s="76">
        <f t="shared" si="14"/>
        <v>0</v>
      </c>
      <c r="BC28" s="77">
        <f t="shared" si="17"/>
        <v>0</v>
      </c>
      <c r="BD28" s="79"/>
      <c r="BE28" s="80"/>
      <c r="BF28" s="81"/>
      <c r="BG28" s="81"/>
      <c r="BH28" s="81"/>
      <c r="BI28" s="81"/>
      <c r="BJ28" s="81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</row>
    <row r="29" spans="1:73" s="6" customFormat="1" ht="24" hidden="1" customHeight="1">
      <c r="A29" s="66">
        <v>13</v>
      </c>
      <c r="B29" s="67"/>
      <c r="C29" s="68"/>
      <c r="D29" s="69"/>
      <c r="E29" s="70"/>
      <c r="F29" s="70"/>
      <c r="G29" s="82"/>
      <c r="H29" s="78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4"/>
      <c r="AM29" s="84"/>
      <c r="AN29" s="71">
        <f t="shared" si="18"/>
        <v>0</v>
      </c>
      <c r="AO29" s="142">
        <f t="shared" ref="AO29:AO34" si="26">COUNTIF(H29:AL29,"N")+COUNTIF(H29:AL29,"A")+COUNTIF(H29:AL29,"B")+COUNTIF(H29:AL29,"C")+COUNTIF(H29:AL29,"F")+COUNTIF(H29:AL29,"HO")+COUNTIF(H29:AL29,"H")+COUNTIF(H29:AL29,"E")+COUNTIF(H29:AL29,"CR")+COUNTIF(H29:AL29,"AR")+COUNTIF(H29:AL29,"D")+COUNTIF(H29:AL29,"AL")+COUNTIF(H29:AL29,"CL")+COUNTIF(H29:AL29,"BT")</f>
        <v>0</v>
      </c>
      <c r="AP29" s="141">
        <f t="shared" si="19"/>
        <v>0</v>
      </c>
      <c r="AQ29" s="74"/>
      <c r="AR29" s="73">
        <f t="shared" si="20"/>
        <v>0</v>
      </c>
      <c r="AS29" s="71">
        <f t="shared" si="21"/>
        <v>0</v>
      </c>
      <c r="AT29" s="71">
        <f t="shared" si="22"/>
        <v>0</v>
      </c>
      <c r="AU29" s="71">
        <f t="shared" si="23"/>
        <v>0</v>
      </c>
      <c r="AV29" s="74">
        <f t="shared" si="24"/>
        <v>0</v>
      </c>
      <c r="AW29" s="75"/>
      <c r="AX29" s="76"/>
      <c r="AY29" s="76"/>
      <c r="AZ29" s="77">
        <f t="shared" si="25"/>
        <v>0</v>
      </c>
      <c r="BA29" s="78"/>
      <c r="BB29" s="76">
        <f t="shared" si="14"/>
        <v>0</v>
      </c>
      <c r="BC29" s="77">
        <f t="shared" si="17"/>
        <v>0</v>
      </c>
      <c r="BD29" s="79"/>
      <c r="BE29" s="80"/>
      <c r="BF29" s="81">
        <f t="shared" ref="BF29:BF35" si="27">COUNTIF(H29:AL29,"L")</f>
        <v>0</v>
      </c>
      <c r="BG29" s="81">
        <f t="shared" ref="BG29:BG35" si="28">COUNTIF(H29:AL29,"O")</f>
        <v>0</v>
      </c>
      <c r="BH29" s="81">
        <f t="shared" ref="BH29:BH35" si="29">COUNTIF(H29:AL29,"H")</f>
        <v>0</v>
      </c>
      <c r="BI29" s="81">
        <f t="shared" ref="BI29:BI35" si="30">COUNTIF(H29:AL29,"HO")</f>
        <v>0</v>
      </c>
      <c r="BJ29" s="81">
        <f t="shared" ref="BJ29:BJ35" si="31">COUNTIF(H29:AL29,"S")</f>
        <v>0</v>
      </c>
      <c r="BK29" s="4">
        <f t="shared" ref="BK29:BK35" si="32">BF29+BG29+BI29+BH29+BJ29</f>
        <v>0</v>
      </c>
      <c r="BL29" s="4"/>
      <c r="BM29" s="4"/>
      <c r="BN29" s="4"/>
      <c r="BO29" s="4"/>
      <c r="BP29" s="4"/>
      <c r="BQ29" s="4"/>
      <c r="BR29" s="4"/>
      <c r="BS29" s="4"/>
      <c r="BT29" s="4"/>
      <c r="BU29" s="4"/>
    </row>
    <row r="30" spans="1:73" s="6" customFormat="1" ht="24" hidden="1" customHeight="1">
      <c r="A30" s="66">
        <v>14</v>
      </c>
      <c r="B30" s="67"/>
      <c r="C30" s="68"/>
      <c r="D30" s="69"/>
      <c r="E30" s="70"/>
      <c r="F30" s="70"/>
      <c r="G30" s="82"/>
      <c r="H30" s="78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4"/>
      <c r="AM30" s="84"/>
      <c r="AN30" s="71">
        <f t="shared" si="18"/>
        <v>0</v>
      </c>
      <c r="AO30" s="142">
        <f t="shared" si="26"/>
        <v>0</v>
      </c>
      <c r="AP30" s="141">
        <f t="shared" si="19"/>
        <v>0</v>
      </c>
      <c r="AQ30" s="74"/>
      <c r="AR30" s="73">
        <f t="shared" si="20"/>
        <v>0</v>
      </c>
      <c r="AS30" s="71">
        <f t="shared" si="21"/>
        <v>0</v>
      </c>
      <c r="AT30" s="71">
        <f t="shared" si="22"/>
        <v>0</v>
      </c>
      <c r="AU30" s="71">
        <f t="shared" si="23"/>
        <v>0</v>
      </c>
      <c r="AV30" s="74">
        <f t="shared" si="24"/>
        <v>0</v>
      </c>
      <c r="AW30" s="75"/>
      <c r="AX30" s="76"/>
      <c r="AY30" s="76"/>
      <c r="AZ30" s="77">
        <f t="shared" si="25"/>
        <v>0</v>
      </c>
      <c r="BA30" s="78"/>
      <c r="BB30" s="76">
        <f t="shared" si="14"/>
        <v>0</v>
      </c>
      <c r="BC30" s="77">
        <f t="shared" si="17"/>
        <v>0</v>
      </c>
      <c r="BD30" s="79"/>
      <c r="BE30" s="83"/>
      <c r="BF30" s="81">
        <f t="shared" si="27"/>
        <v>0</v>
      </c>
      <c r="BG30" s="81">
        <f t="shared" si="28"/>
        <v>0</v>
      </c>
      <c r="BH30" s="81">
        <f t="shared" si="29"/>
        <v>0</v>
      </c>
      <c r="BI30" s="81">
        <f t="shared" si="30"/>
        <v>0</v>
      </c>
      <c r="BJ30" s="81">
        <f t="shared" si="31"/>
        <v>0</v>
      </c>
      <c r="BK30" s="4">
        <f t="shared" si="32"/>
        <v>0</v>
      </c>
      <c r="BL30" s="4"/>
      <c r="BM30" s="4"/>
      <c r="BN30" s="4"/>
      <c r="BO30" s="4"/>
      <c r="BP30" s="4"/>
      <c r="BQ30" s="4"/>
      <c r="BR30" s="4"/>
      <c r="BS30" s="4"/>
      <c r="BT30" s="4"/>
      <c r="BU30" s="4"/>
    </row>
    <row r="31" spans="1:73" s="6" customFormat="1" ht="24" hidden="1" customHeight="1">
      <c r="A31" s="66">
        <v>15</v>
      </c>
      <c r="B31" s="67"/>
      <c r="C31" s="68"/>
      <c r="D31" s="69"/>
      <c r="E31" s="70"/>
      <c r="F31" s="70"/>
      <c r="G31" s="82"/>
      <c r="H31" s="78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4"/>
      <c r="AM31" s="84"/>
      <c r="AN31" s="71">
        <f t="shared" si="18"/>
        <v>0</v>
      </c>
      <c r="AO31" s="142">
        <f t="shared" si="26"/>
        <v>0</v>
      </c>
      <c r="AP31" s="141">
        <f t="shared" si="19"/>
        <v>0</v>
      </c>
      <c r="AQ31" s="74"/>
      <c r="AR31" s="73">
        <f t="shared" si="20"/>
        <v>0</v>
      </c>
      <c r="AS31" s="71">
        <f t="shared" si="21"/>
        <v>0</v>
      </c>
      <c r="AT31" s="71">
        <f t="shared" si="22"/>
        <v>0</v>
      </c>
      <c r="AU31" s="71">
        <f t="shared" si="23"/>
        <v>0</v>
      </c>
      <c r="AV31" s="74">
        <f t="shared" si="24"/>
        <v>0</v>
      </c>
      <c r="AW31" s="75"/>
      <c r="AX31" s="76"/>
      <c r="AY31" s="76"/>
      <c r="AZ31" s="77">
        <f t="shared" si="25"/>
        <v>0</v>
      </c>
      <c r="BA31" s="78"/>
      <c r="BB31" s="76">
        <f t="shared" si="14"/>
        <v>0</v>
      </c>
      <c r="BC31" s="77">
        <f t="shared" si="17"/>
        <v>0</v>
      </c>
      <c r="BD31" s="79"/>
      <c r="BE31" s="83"/>
      <c r="BF31" s="81">
        <f t="shared" si="27"/>
        <v>0</v>
      </c>
      <c r="BG31" s="81">
        <f t="shared" si="28"/>
        <v>0</v>
      </c>
      <c r="BH31" s="81">
        <f t="shared" si="29"/>
        <v>0</v>
      </c>
      <c r="BI31" s="81">
        <f t="shared" si="30"/>
        <v>0</v>
      </c>
      <c r="BJ31" s="81">
        <f t="shared" si="31"/>
        <v>0</v>
      </c>
      <c r="BK31" s="4">
        <f t="shared" si="32"/>
        <v>0</v>
      </c>
      <c r="BL31" s="4"/>
      <c r="BM31" s="4"/>
      <c r="BN31" s="4"/>
      <c r="BO31" s="4"/>
      <c r="BP31" s="4"/>
      <c r="BQ31" s="4"/>
      <c r="BR31" s="4"/>
      <c r="BS31" s="4"/>
      <c r="BT31" s="4"/>
      <c r="BU31" s="4"/>
    </row>
    <row r="32" spans="1:73" s="6" customFormat="1" ht="24" hidden="1" customHeight="1">
      <c r="A32" s="66">
        <v>16</v>
      </c>
      <c r="B32" s="67"/>
      <c r="C32" s="68"/>
      <c r="D32" s="69"/>
      <c r="E32" s="70"/>
      <c r="F32" s="70"/>
      <c r="G32" s="82"/>
      <c r="H32" s="78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4"/>
      <c r="AM32" s="84"/>
      <c r="AN32" s="71">
        <f t="shared" si="18"/>
        <v>0</v>
      </c>
      <c r="AO32" s="142">
        <f t="shared" si="26"/>
        <v>0</v>
      </c>
      <c r="AP32" s="141">
        <f t="shared" si="19"/>
        <v>0</v>
      </c>
      <c r="AQ32" s="74"/>
      <c r="AR32" s="73">
        <f t="shared" si="20"/>
        <v>0</v>
      </c>
      <c r="AS32" s="71">
        <f t="shared" si="21"/>
        <v>0</v>
      </c>
      <c r="AT32" s="71">
        <f t="shared" si="22"/>
        <v>0</v>
      </c>
      <c r="AU32" s="71">
        <f t="shared" si="23"/>
        <v>0</v>
      </c>
      <c r="AV32" s="74">
        <f t="shared" si="24"/>
        <v>0</v>
      </c>
      <c r="AW32" s="75"/>
      <c r="AX32" s="76"/>
      <c r="AY32" s="143"/>
      <c r="AZ32" s="77">
        <f t="shared" si="25"/>
        <v>0</v>
      </c>
      <c r="BA32" s="78"/>
      <c r="BB32" s="76">
        <f t="shared" si="14"/>
        <v>0</v>
      </c>
      <c r="BC32" s="77">
        <f t="shared" si="17"/>
        <v>0</v>
      </c>
      <c r="BD32" s="79"/>
      <c r="BE32" s="83"/>
      <c r="BF32" s="81">
        <f t="shared" si="27"/>
        <v>0</v>
      </c>
      <c r="BG32" s="81">
        <f t="shared" si="28"/>
        <v>0</v>
      </c>
      <c r="BH32" s="81">
        <f t="shared" si="29"/>
        <v>0</v>
      </c>
      <c r="BI32" s="81">
        <f t="shared" si="30"/>
        <v>0</v>
      </c>
      <c r="BJ32" s="81">
        <f t="shared" si="31"/>
        <v>0</v>
      </c>
      <c r="BK32" s="4">
        <f t="shared" si="32"/>
        <v>0</v>
      </c>
      <c r="BL32" s="4"/>
      <c r="BM32" s="4"/>
      <c r="BN32" s="4"/>
      <c r="BO32" s="4"/>
      <c r="BP32" s="4"/>
      <c r="BQ32" s="4"/>
      <c r="BR32" s="4"/>
      <c r="BS32" s="4"/>
      <c r="BT32" s="4"/>
      <c r="BU32" s="4"/>
    </row>
    <row r="33" spans="1:73" s="6" customFormat="1" ht="24" hidden="1" customHeight="1">
      <c r="A33" s="66">
        <v>17</v>
      </c>
      <c r="B33" s="67"/>
      <c r="C33" s="68"/>
      <c r="D33" s="69"/>
      <c r="E33" s="70"/>
      <c r="F33" s="70"/>
      <c r="G33" s="82"/>
      <c r="H33" s="78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4"/>
      <c r="AM33" s="84"/>
      <c r="AN33" s="71">
        <f t="shared" si="18"/>
        <v>0</v>
      </c>
      <c r="AO33" s="142">
        <f t="shared" si="26"/>
        <v>0</v>
      </c>
      <c r="AP33" s="141">
        <f t="shared" si="19"/>
        <v>0</v>
      </c>
      <c r="AQ33" s="144"/>
      <c r="AR33" s="73">
        <f t="shared" si="20"/>
        <v>0</v>
      </c>
      <c r="AS33" s="71">
        <f t="shared" si="21"/>
        <v>0</v>
      </c>
      <c r="AT33" s="71">
        <f t="shared" si="22"/>
        <v>0</v>
      </c>
      <c r="AU33" s="71">
        <f t="shared" si="23"/>
        <v>0</v>
      </c>
      <c r="AV33" s="74">
        <f t="shared" si="24"/>
        <v>0</v>
      </c>
      <c r="AW33" s="75"/>
      <c r="AX33" s="76"/>
      <c r="AY33" s="143"/>
      <c r="AZ33" s="77">
        <f t="shared" si="25"/>
        <v>0</v>
      </c>
      <c r="BA33" s="78"/>
      <c r="BB33" s="76">
        <f t="shared" si="14"/>
        <v>0</v>
      </c>
      <c r="BC33" s="77">
        <f t="shared" si="17"/>
        <v>0</v>
      </c>
      <c r="BD33" s="79"/>
      <c r="BE33" s="83"/>
      <c r="BF33" s="81">
        <f t="shared" si="27"/>
        <v>0</v>
      </c>
      <c r="BG33" s="81">
        <f t="shared" si="28"/>
        <v>0</v>
      </c>
      <c r="BH33" s="81">
        <f t="shared" si="29"/>
        <v>0</v>
      </c>
      <c r="BI33" s="81">
        <f t="shared" si="30"/>
        <v>0</v>
      </c>
      <c r="BJ33" s="81">
        <f t="shared" si="31"/>
        <v>0</v>
      </c>
      <c r="BK33" s="4">
        <f t="shared" si="32"/>
        <v>0</v>
      </c>
      <c r="BL33" s="4"/>
      <c r="BM33" s="4"/>
      <c r="BN33" s="4"/>
      <c r="BO33" s="4"/>
      <c r="BP33" s="4"/>
      <c r="BQ33" s="4"/>
      <c r="BR33" s="4"/>
      <c r="BS33" s="4"/>
      <c r="BT33" s="4"/>
      <c r="BU33" s="4"/>
    </row>
    <row r="34" spans="1:73" s="6" customFormat="1" ht="24" hidden="1" customHeight="1">
      <c r="A34" s="66"/>
      <c r="B34" s="67"/>
      <c r="C34" s="68"/>
      <c r="D34" s="69"/>
      <c r="E34" s="70"/>
      <c r="F34" s="70"/>
      <c r="G34" s="82"/>
      <c r="H34" s="78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4"/>
      <c r="AM34" s="84"/>
      <c r="AN34" s="71">
        <f t="shared" si="18"/>
        <v>0</v>
      </c>
      <c r="AO34" s="142">
        <f t="shared" si="26"/>
        <v>0</v>
      </c>
      <c r="AP34" s="141">
        <f t="shared" si="19"/>
        <v>0</v>
      </c>
      <c r="AQ34" s="144"/>
      <c r="AR34" s="73"/>
      <c r="AS34" s="71"/>
      <c r="AT34" s="71"/>
      <c r="AU34" s="71"/>
      <c r="AV34" s="74"/>
      <c r="AW34" s="75"/>
      <c r="AX34" s="76"/>
      <c r="AY34" s="143"/>
      <c r="AZ34" s="77"/>
      <c r="BA34" s="78"/>
      <c r="BB34" s="76"/>
      <c r="BC34" s="77"/>
      <c r="BD34" s="79"/>
      <c r="BE34" s="83"/>
      <c r="BF34" s="81">
        <f t="shared" si="27"/>
        <v>0</v>
      </c>
      <c r="BG34" s="81">
        <f t="shared" si="28"/>
        <v>0</v>
      </c>
      <c r="BH34" s="81">
        <f t="shared" si="29"/>
        <v>0</v>
      </c>
      <c r="BI34" s="81">
        <f t="shared" si="30"/>
        <v>0</v>
      </c>
      <c r="BJ34" s="81">
        <f t="shared" si="31"/>
        <v>0</v>
      </c>
      <c r="BK34" s="4">
        <f t="shared" si="32"/>
        <v>0</v>
      </c>
      <c r="BL34" s="4"/>
      <c r="BM34" s="4"/>
      <c r="BN34" s="4"/>
      <c r="BO34" s="4"/>
      <c r="BP34" s="4"/>
      <c r="BQ34" s="4"/>
      <c r="BR34" s="4"/>
      <c r="BS34" s="4"/>
      <c r="BT34" s="4"/>
      <c r="BU34" s="4"/>
    </row>
    <row r="35" spans="1:73" ht="24" hidden="1" customHeight="1">
      <c r="A35" s="145"/>
      <c r="B35" s="146"/>
      <c r="C35" s="147"/>
      <c r="D35" s="148"/>
      <c r="E35" s="149"/>
      <c r="F35" s="149"/>
      <c r="G35" s="150"/>
      <c r="H35" s="151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152"/>
      <c r="AE35" s="152"/>
      <c r="AF35" s="152"/>
      <c r="AG35" s="152"/>
      <c r="AH35" s="152"/>
      <c r="AI35" s="152"/>
      <c r="AJ35" s="152"/>
      <c r="AK35" s="152"/>
      <c r="AL35" s="153"/>
      <c r="AM35" s="151"/>
      <c r="AN35" s="154">
        <f>COUNTIF(H35:AL35,"N")+COUNTIF(H35:AL35,"A")+COUNTIF(H35:AL35,"B")+COUNTIF(H35:AL35,"C")+COUNTIF(H35:AL35,"E")+COUNTIF(H35:AL35,"CE")+COUNTIF(H35:AL35,"CR")+COUNTIF(H35:AL35,"AR")+COUNTIF(H35:AL35,"D")+COUNTIF(H35:AL35,"BT")+COUNTIF(H35:AL35,"CL")+COUNTIF(H35:AL35,"AL")+COUNTIF(H35:AL35,"H")+COUNTIF(H35:AL35,"I")+COUNTIF(H35:AL35,"X")+COUNTIF(H35:AL35,"MRL")+COUNTIF(H35:AL35,"MTL")+COUNTIF(H35:AL35,"FL")+COUNTIF(H35:AL35,"SL")+COUNTIF(H35:AL35,"LSL")+COUNTIF(H35:AL35,"HO")+COUNTIF(H35:AL35,"Q")+COUNTIF(H35:AL35,"W")+COUNTIF(H35:AL35,"S")+COUNTIF(H35:AL35,"P")+COUNTIF(H35:AL35,"U")</f>
        <v>0</v>
      </c>
      <c r="AO35" s="155">
        <f>COUNTIF(H35:AL35,"N")+COUNTIF(H35:AL35,"A")+COUNTIF(H35:AL35,"B")+COUNTIF(H35:AL35,"C")+COUNTIF(H35:AL35,"HO")+COUNTIF(H35:AL35,"H")+COUNTIF(H35:AL35,"E")+COUNTIF(H35:AL35,"CR")+COUNTIF(H35:AL35,"AR")+COUNTIF(H35:AL35,"D")+COUNTIF(H35:AL35,"BT")+COUNTIF(H35:AL35,"CL")+COUNTIF(H35:AL35,"AL")+COUNTIF(H35:AL35,"P")+COUNTIF(H35:AL35,"F")</f>
        <v>0</v>
      </c>
      <c r="AP35" s="152"/>
      <c r="AQ35" s="153"/>
      <c r="AR35" s="156"/>
      <c r="AS35" s="154"/>
      <c r="AT35" s="154"/>
      <c r="AU35" s="154"/>
      <c r="AV35" s="157"/>
      <c r="AW35" s="158"/>
      <c r="AX35" s="159"/>
      <c r="AY35" s="159"/>
      <c r="AZ35" s="160"/>
      <c r="BA35" s="161"/>
      <c r="BB35" s="159"/>
      <c r="BC35" s="160"/>
      <c r="BD35" s="162"/>
      <c r="BE35" s="85"/>
      <c r="BF35" s="81">
        <f t="shared" si="27"/>
        <v>0</v>
      </c>
      <c r="BG35" s="81">
        <f t="shared" si="28"/>
        <v>0</v>
      </c>
      <c r="BH35" s="81">
        <f t="shared" si="29"/>
        <v>0</v>
      </c>
      <c r="BI35" s="81">
        <f t="shared" si="30"/>
        <v>0</v>
      </c>
      <c r="BJ35" s="81">
        <f t="shared" si="31"/>
        <v>0</v>
      </c>
      <c r="BK35" s="4">
        <f t="shared" si="32"/>
        <v>0</v>
      </c>
    </row>
    <row r="36" spans="1:73" ht="13">
      <c r="A36" s="86"/>
      <c r="B36" s="87"/>
      <c r="C36" s="88"/>
      <c r="D36" s="87"/>
      <c r="E36" s="87"/>
      <c r="F36" s="87"/>
      <c r="G36" s="89"/>
      <c r="H36" s="90"/>
      <c r="I36" s="90"/>
      <c r="J36" s="90"/>
      <c r="K36" s="91"/>
      <c r="L36" s="91"/>
      <c r="M36" s="91"/>
      <c r="N36" s="91"/>
      <c r="O36" s="91"/>
      <c r="P36" s="91"/>
      <c r="Q36" s="91"/>
      <c r="R36" s="91"/>
      <c r="S36" s="91"/>
      <c r="T36" s="89"/>
      <c r="U36" s="91"/>
      <c r="V36" s="91"/>
      <c r="W36" s="91"/>
      <c r="X36" s="91"/>
      <c r="Y36" s="91"/>
      <c r="Z36" s="90"/>
      <c r="AA36" s="91"/>
      <c r="AB36" s="92"/>
      <c r="AC36" s="92"/>
      <c r="AD36" s="91"/>
      <c r="AE36" s="91"/>
      <c r="AF36" s="91"/>
      <c r="AG36" s="91"/>
      <c r="AH36" s="91"/>
      <c r="AI36" s="91"/>
      <c r="AJ36" s="91"/>
      <c r="AK36" s="91"/>
      <c r="AL36" s="91"/>
      <c r="AM36" s="99"/>
      <c r="AN36" s="99"/>
      <c r="AO36" s="99"/>
      <c r="AP36" s="99"/>
      <c r="AQ36" s="99"/>
      <c r="AR36" s="91"/>
      <c r="AS36" s="91"/>
      <c r="AT36" s="91"/>
      <c r="AU36" s="91"/>
      <c r="AV36" s="91"/>
      <c r="AW36" s="91"/>
      <c r="AX36" s="91"/>
      <c r="AY36" s="91"/>
      <c r="AZ36" s="93"/>
      <c r="BA36" s="91"/>
      <c r="BB36" s="91"/>
      <c r="BC36" s="91"/>
      <c r="BD36" s="91"/>
      <c r="BE36" s="94"/>
      <c r="BF36" s="81"/>
      <c r="BG36" s="81"/>
      <c r="BH36" s="81"/>
      <c r="BI36" s="81"/>
      <c r="BJ36" s="81"/>
      <c r="BK36" s="4"/>
    </row>
    <row r="37" spans="1:73" ht="13">
      <c r="A37" s="95"/>
      <c r="B37" s="96"/>
      <c r="C37" s="97"/>
      <c r="D37" s="96"/>
      <c r="E37" s="96"/>
      <c r="F37" s="96"/>
      <c r="G37" s="4"/>
      <c r="H37" s="98"/>
      <c r="I37" s="98"/>
      <c r="J37" s="98"/>
      <c r="K37" s="11"/>
      <c r="L37" s="11"/>
      <c r="M37" s="11"/>
      <c r="N37" s="11"/>
      <c r="O37" s="11"/>
      <c r="P37" s="11"/>
      <c r="Q37" s="11"/>
      <c r="R37" s="11"/>
      <c r="S37" s="11"/>
      <c r="T37" s="4"/>
      <c r="U37" s="11"/>
      <c r="V37" s="11"/>
      <c r="W37" s="11"/>
      <c r="X37" s="11"/>
      <c r="Y37" s="11"/>
      <c r="Z37" s="98"/>
      <c r="AA37" s="11"/>
      <c r="AB37" s="12"/>
      <c r="AC37" s="12"/>
      <c r="AD37" s="11"/>
      <c r="AE37" s="11"/>
      <c r="AF37" s="11"/>
      <c r="AG37" s="11"/>
      <c r="AH37" s="11"/>
      <c r="AI37" s="11"/>
      <c r="AJ37" s="11"/>
      <c r="AK37" s="11"/>
      <c r="AL37" s="11"/>
      <c r="AM37" s="99"/>
      <c r="AN37" s="99"/>
      <c r="AO37" s="99"/>
      <c r="AP37" s="99"/>
      <c r="AQ37" s="99"/>
      <c r="AR37" s="11"/>
      <c r="AS37" s="11"/>
      <c r="AT37" s="11"/>
      <c r="AU37" s="11"/>
      <c r="AV37" s="11"/>
      <c r="AW37" s="11"/>
      <c r="AX37" s="11"/>
      <c r="AY37" s="11"/>
      <c r="BA37" s="11"/>
      <c r="BB37" s="11"/>
      <c r="BC37" s="11"/>
      <c r="BD37" s="11"/>
      <c r="BE37" s="101"/>
      <c r="BF37" s="81"/>
      <c r="BG37" s="81"/>
      <c r="BH37" s="81"/>
      <c r="BI37" s="81"/>
      <c r="BJ37" s="81"/>
      <c r="BK37" s="4"/>
    </row>
    <row r="38" spans="1:73" ht="13">
      <c r="A38" s="95"/>
      <c r="B38" s="96"/>
      <c r="C38" s="97"/>
      <c r="D38" s="96"/>
      <c r="E38" s="96"/>
      <c r="F38" s="96"/>
      <c r="G38" s="4"/>
      <c r="H38" s="98"/>
      <c r="I38" s="98"/>
      <c r="J38" s="98"/>
      <c r="K38" s="11"/>
      <c r="L38" s="11"/>
      <c r="M38" s="11"/>
      <c r="N38" s="11"/>
      <c r="O38" s="11"/>
      <c r="P38" s="11"/>
      <c r="Q38" s="11"/>
      <c r="R38" s="11"/>
      <c r="S38" s="11"/>
      <c r="T38" s="4"/>
      <c r="U38" s="11"/>
      <c r="V38" s="11"/>
      <c r="W38" s="11"/>
      <c r="X38" s="11"/>
      <c r="Y38" s="11"/>
      <c r="Z38" s="98"/>
      <c r="AA38" s="11"/>
      <c r="AB38" s="12"/>
      <c r="AC38" s="12"/>
      <c r="AD38" s="11"/>
      <c r="AE38" s="11"/>
      <c r="AF38" s="11"/>
      <c r="AG38" s="11"/>
      <c r="AH38" s="11"/>
      <c r="AI38" s="11"/>
      <c r="AJ38" s="11"/>
      <c r="AK38" s="11"/>
      <c r="AL38" s="11"/>
      <c r="AM38" s="99"/>
      <c r="AN38" s="99"/>
      <c r="AO38" s="99"/>
      <c r="AP38" s="99"/>
      <c r="AQ38" s="99"/>
      <c r="AR38" s="11"/>
      <c r="AS38" s="11"/>
      <c r="AT38" s="11"/>
      <c r="AU38" s="11"/>
      <c r="AV38" s="11"/>
      <c r="AW38" s="11"/>
      <c r="AX38" s="11"/>
      <c r="AY38" s="11"/>
      <c r="BA38" s="11"/>
      <c r="BB38" s="11"/>
      <c r="BC38" s="11"/>
      <c r="BD38" s="11"/>
      <c r="BE38" s="101"/>
      <c r="BF38" s="81"/>
      <c r="BG38" s="81"/>
      <c r="BH38" s="81"/>
      <c r="BI38" s="81"/>
      <c r="BJ38" s="81"/>
      <c r="BK38" s="4"/>
    </row>
    <row r="39" spans="1:73" ht="13">
      <c r="A39" s="95"/>
      <c r="B39" s="96"/>
      <c r="C39" s="97"/>
      <c r="D39" s="96"/>
      <c r="E39" s="96"/>
      <c r="F39" s="96"/>
      <c r="G39" s="4"/>
      <c r="H39" s="98"/>
      <c r="I39" s="98"/>
      <c r="J39" s="98"/>
      <c r="K39" s="11"/>
      <c r="L39" s="11"/>
      <c r="M39" s="11"/>
      <c r="N39" s="11"/>
      <c r="O39" s="11"/>
      <c r="P39" s="11"/>
      <c r="Q39" s="11"/>
      <c r="R39" s="11"/>
      <c r="S39" s="11"/>
      <c r="T39" s="4"/>
      <c r="U39" s="11"/>
      <c r="V39" s="11"/>
      <c r="W39" s="11"/>
      <c r="X39" s="11"/>
      <c r="Y39" s="11"/>
      <c r="Z39" s="98"/>
      <c r="AA39" s="11"/>
      <c r="AB39" s="12"/>
      <c r="AC39" s="12"/>
      <c r="AD39" s="11"/>
      <c r="AE39" s="11"/>
      <c r="AF39" s="11"/>
      <c r="AG39" s="11"/>
      <c r="AH39" s="11"/>
      <c r="AI39" s="11"/>
      <c r="AJ39" s="11"/>
      <c r="AK39" s="11"/>
      <c r="AL39" s="11"/>
      <c r="AM39" s="99"/>
      <c r="AN39" s="99"/>
      <c r="AO39" s="99"/>
      <c r="AP39" s="99"/>
      <c r="AQ39" s="99"/>
      <c r="AR39" s="11"/>
      <c r="AS39" s="11"/>
      <c r="AT39" s="11"/>
      <c r="AU39" s="11"/>
      <c r="AV39" s="11"/>
      <c r="AW39" s="11"/>
      <c r="AX39" s="11"/>
      <c r="AY39" s="11"/>
      <c r="BA39" s="11"/>
      <c r="BB39" s="11"/>
      <c r="BC39" s="11"/>
      <c r="BD39" s="11"/>
      <c r="BE39" s="101"/>
      <c r="BF39" s="81"/>
      <c r="BG39" s="81"/>
      <c r="BH39" s="81"/>
      <c r="BI39" s="81"/>
      <c r="BJ39" s="81"/>
      <c r="BK39" s="4"/>
    </row>
    <row r="40" spans="1:73" ht="13" customHeight="1">
      <c r="A40" s="95"/>
      <c r="B40" s="96"/>
      <c r="C40" s="97"/>
      <c r="D40" s="96"/>
      <c r="E40" s="96"/>
      <c r="F40" s="96"/>
      <c r="G40" s="4"/>
      <c r="H40" s="98"/>
      <c r="I40" s="98"/>
      <c r="J40" s="98"/>
      <c r="K40" s="11"/>
      <c r="L40" s="11"/>
      <c r="M40" s="11"/>
      <c r="N40" s="11"/>
      <c r="O40" s="11"/>
      <c r="P40" s="11"/>
      <c r="Q40" s="11"/>
      <c r="R40" s="11"/>
      <c r="S40" s="11"/>
      <c r="T40" s="4"/>
      <c r="U40" s="11"/>
      <c r="V40" s="11"/>
      <c r="W40" s="11"/>
      <c r="X40" s="11"/>
      <c r="Y40" s="11"/>
      <c r="Z40" s="98"/>
      <c r="AA40" s="11"/>
      <c r="AB40" s="12"/>
      <c r="AC40" s="12"/>
      <c r="AD40" s="11"/>
      <c r="AE40" s="11"/>
      <c r="AF40" s="11"/>
      <c r="AG40" s="11"/>
      <c r="AH40" s="11"/>
      <c r="AI40" s="11"/>
      <c r="AJ40" s="11"/>
      <c r="AK40" s="11"/>
      <c r="AL40" s="11"/>
      <c r="AM40" s="99"/>
      <c r="AN40" s="99"/>
      <c r="AO40" s="99"/>
      <c r="AP40" s="99"/>
      <c r="AQ40" s="99"/>
      <c r="AR40" s="11"/>
      <c r="AS40" s="11"/>
      <c r="AT40" s="11"/>
      <c r="AU40" s="11"/>
      <c r="AV40" s="11"/>
      <c r="AW40" s="11"/>
      <c r="AX40" s="11"/>
      <c r="AY40" s="11"/>
      <c r="BA40" s="11"/>
      <c r="BB40" s="11"/>
      <c r="BC40" s="11"/>
      <c r="BD40" s="11"/>
      <c r="BE40" s="101"/>
      <c r="BF40" s="81"/>
      <c r="BG40" s="81"/>
      <c r="BH40" s="81"/>
      <c r="BI40" s="81"/>
      <c r="BJ40" s="81"/>
      <c r="BK40" s="4"/>
    </row>
    <row r="41" spans="1:73" s="4" customFormat="1" ht="15.95" customHeight="1">
      <c r="A41" s="102"/>
      <c r="B41" s="103" t="s">
        <v>64</v>
      </c>
      <c r="C41" s="100"/>
      <c r="D41" s="103"/>
      <c r="H41" s="103" t="s">
        <v>65</v>
      </c>
      <c r="K41" s="104"/>
      <c r="U41" s="105" t="s">
        <v>66</v>
      </c>
      <c r="AE41" s="103" t="s">
        <v>67</v>
      </c>
      <c r="AG41" s="106"/>
      <c r="AH41" s="107"/>
      <c r="AR41" s="103" t="s">
        <v>68</v>
      </c>
      <c r="AU41" s="108"/>
      <c r="BE41" s="109"/>
      <c r="BF41" s="81"/>
      <c r="BG41" s="81"/>
      <c r="BH41" s="81"/>
      <c r="BI41" s="81"/>
      <c r="BJ41" s="81"/>
    </row>
    <row r="42" spans="1:73" s="10" customFormat="1" ht="15.95" customHeight="1">
      <c r="A42" s="110"/>
      <c r="B42" s="111"/>
      <c r="C42" s="112"/>
      <c r="E42" s="103"/>
      <c r="M42" s="113"/>
      <c r="N42" s="113"/>
      <c r="O42" s="113"/>
      <c r="P42" s="113"/>
      <c r="Q42" s="113"/>
      <c r="R42" s="114"/>
      <c r="S42" s="113"/>
      <c r="T42" s="113"/>
      <c r="U42" s="113"/>
      <c r="V42" s="113"/>
      <c r="W42" s="113"/>
      <c r="X42" s="114"/>
      <c r="Y42" s="113"/>
      <c r="AC42" s="115"/>
      <c r="AD42" s="115"/>
      <c r="AE42" s="113"/>
      <c r="AF42" s="113"/>
      <c r="AG42" s="113"/>
      <c r="AH42" s="113"/>
      <c r="AI42" s="113"/>
      <c r="AL42" s="113"/>
      <c r="AM42" s="103"/>
      <c r="AN42" s="103"/>
      <c r="AW42" s="113"/>
      <c r="AX42" s="113"/>
      <c r="AY42" s="113"/>
      <c r="AZ42" s="113"/>
      <c r="BA42" s="113"/>
      <c r="BB42" s="113"/>
      <c r="BC42" s="113"/>
      <c r="BD42" s="113"/>
      <c r="BE42" s="109"/>
      <c r="BF42" s="81"/>
      <c r="BG42" s="81"/>
      <c r="BH42" s="81"/>
      <c r="BI42" s="81"/>
      <c r="BJ42" s="81"/>
      <c r="BK42" s="4"/>
    </row>
    <row r="43" spans="1:73" ht="13">
      <c r="A43" s="95"/>
      <c r="B43" s="96"/>
      <c r="C43" s="96"/>
      <c r="D43" s="96"/>
      <c r="E43" s="96"/>
      <c r="F43" s="96"/>
      <c r="G43" s="4"/>
      <c r="H43" s="11"/>
      <c r="I43" s="11"/>
      <c r="J43" s="4"/>
      <c r="K43" s="11"/>
      <c r="L43" s="11"/>
      <c r="M43" s="11"/>
      <c r="N43" s="11"/>
      <c r="O43" s="11"/>
      <c r="P43" s="11"/>
      <c r="Q43" s="11"/>
      <c r="R43" s="11"/>
      <c r="S43" s="11"/>
      <c r="T43" s="4"/>
      <c r="U43" s="11"/>
      <c r="V43" s="11"/>
      <c r="W43" s="11"/>
      <c r="X43" s="4"/>
      <c r="Y43" s="11"/>
      <c r="Z43" s="98"/>
      <c r="AA43" s="11"/>
      <c r="AB43" s="12"/>
      <c r="AC43" s="12"/>
      <c r="AD43" s="11"/>
      <c r="AE43" s="11"/>
      <c r="AF43" s="11"/>
      <c r="AG43" s="11"/>
      <c r="AH43" s="11"/>
      <c r="AI43" s="11"/>
      <c r="AJ43" s="11"/>
      <c r="AK43" s="11"/>
      <c r="AL43" s="11"/>
      <c r="AM43" s="99"/>
      <c r="AN43" s="99"/>
      <c r="AO43" s="99"/>
      <c r="AP43" s="99"/>
      <c r="AQ43" s="99"/>
      <c r="AT43" s="11"/>
      <c r="AU43" s="11"/>
      <c r="AV43" s="11"/>
      <c r="AW43" s="11"/>
      <c r="AX43" s="11"/>
      <c r="AY43" s="11"/>
      <c r="BE43" s="109"/>
      <c r="BF43" s="81"/>
      <c r="BG43" s="81"/>
      <c r="BH43" s="81"/>
      <c r="BI43" s="81"/>
      <c r="BJ43" s="81"/>
      <c r="BK43" s="4"/>
    </row>
    <row r="44" spans="1:73" ht="15" customHeight="1">
      <c r="A44" s="102"/>
      <c r="B44" s="4"/>
      <c r="C44" s="2"/>
      <c r="D44" s="2"/>
      <c r="E44" s="2"/>
      <c r="F44" s="2"/>
      <c r="G44" s="116" t="s">
        <v>69</v>
      </c>
      <c r="H44" s="104" t="s">
        <v>70</v>
      </c>
      <c r="I44" s="2"/>
      <c r="J44" s="4"/>
      <c r="K44" s="117" t="s">
        <v>71</v>
      </c>
      <c r="L44" s="81" t="s">
        <v>39</v>
      </c>
      <c r="M44" s="4"/>
      <c r="N44" s="4"/>
      <c r="O44" s="118" t="s">
        <v>46</v>
      </c>
      <c r="P44" s="119" t="s">
        <v>33</v>
      </c>
      <c r="Q44" s="4"/>
      <c r="R44" s="120" t="s">
        <v>54</v>
      </c>
      <c r="S44" s="119" t="s">
        <v>72</v>
      </c>
      <c r="T44" s="120"/>
      <c r="U44" s="120" t="s">
        <v>73</v>
      </c>
      <c r="V44" s="119" t="s">
        <v>74</v>
      </c>
      <c r="W44" s="120"/>
      <c r="X44" s="120"/>
      <c r="Y44" s="120"/>
      <c r="Z44" s="120" t="s">
        <v>45</v>
      </c>
      <c r="AA44" s="119" t="s">
        <v>75</v>
      </c>
      <c r="AB44" s="119" t="s">
        <v>76</v>
      </c>
      <c r="AD44" s="120"/>
      <c r="AE44" s="120"/>
      <c r="AF44" s="120" t="s">
        <v>58</v>
      </c>
      <c r="AG44" s="120" t="s">
        <v>77</v>
      </c>
      <c r="AH44" s="119" t="s">
        <v>78</v>
      </c>
      <c r="AI44" s="119"/>
      <c r="AJ44" s="119"/>
      <c r="AK44" s="4"/>
      <c r="AM44" s="4"/>
      <c r="AN44" s="119" t="s">
        <v>79</v>
      </c>
      <c r="AO44" s="119" t="s">
        <v>80</v>
      </c>
      <c r="AP44" s="120"/>
      <c r="AQ44" s="120"/>
      <c r="AR44" s="120"/>
      <c r="AS44" s="81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109"/>
      <c r="BF44" s="81"/>
      <c r="BG44" s="81"/>
      <c r="BH44" s="81"/>
      <c r="BI44" s="81"/>
      <c r="BJ44" s="81"/>
      <c r="BK44" s="4"/>
    </row>
    <row r="45" spans="1:73" ht="15" customHeight="1">
      <c r="A45" s="102"/>
      <c r="B45" s="4"/>
      <c r="C45" s="2"/>
      <c r="D45" s="2"/>
      <c r="E45" s="2"/>
      <c r="F45" s="2"/>
      <c r="G45" s="121" t="s">
        <v>81</v>
      </c>
      <c r="H45" s="104" t="s">
        <v>82</v>
      </c>
      <c r="I45" s="2"/>
      <c r="J45" s="4"/>
      <c r="K45" s="4" t="s">
        <v>47</v>
      </c>
      <c r="L45" s="81" t="s">
        <v>83</v>
      </c>
      <c r="M45" s="4"/>
      <c r="N45" s="4"/>
      <c r="O45" s="4" t="s">
        <v>57</v>
      </c>
      <c r="P45" s="104" t="s">
        <v>84</v>
      </c>
      <c r="Q45" s="4"/>
      <c r="R45" s="120" t="s">
        <v>85</v>
      </c>
      <c r="S45" s="119" t="s">
        <v>86</v>
      </c>
      <c r="T45" s="120"/>
      <c r="U45" s="120" t="s">
        <v>87</v>
      </c>
      <c r="V45" s="119" t="s">
        <v>88</v>
      </c>
      <c r="W45" s="120"/>
      <c r="X45" s="120"/>
      <c r="Y45" s="120"/>
      <c r="Z45" s="4" t="s">
        <v>89</v>
      </c>
      <c r="AA45" s="104" t="s">
        <v>90</v>
      </c>
      <c r="AD45" s="120"/>
      <c r="AE45" s="120"/>
      <c r="AF45" s="120" t="s">
        <v>50</v>
      </c>
      <c r="AG45" s="120" t="s">
        <v>91</v>
      </c>
      <c r="AH45" s="119" t="s">
        <v>92</v>
      </c>
      <c r="AI45" s="119"/>
      <c r="AJ45" s="119"/>
      <c r="AK45" s="4"/>
      <c r="AM45" s="4"/>
      <c r="AN45" s="119" t="s">
        <v>93</v>
      </c>
      <c r="AO45" s="119" t="s">
        <v>80</v>
      </c>
      <c r="AP45" s="119"/>
      <c r="AQ45" s="119"/>
      <c r="AR45" s="4"/>
      <c r="AS45" s="81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109"/>
      <c r="BF45" s="81"/>
      <c r="BG45" s="81"/>
      <c r="BH45" s="81"/>
      <c r="BI45" s="81"/>
      <c r="BJ45" s="81"/>
      <c r="BK45" s="4"/>
    </row>
    <row r="46" spans="1:73" ht="15" customHeight="1">
      <c r="A46" s="122"/>
      <c r="B46" s="46"/>
      <c r="C46" s="123"/>
      <c r="D46" s="123"/>
      <c r="E46" s="123"/>
      <c r="F46" s="123"/>
      <c r="G46" s="124" t="s">
        <v>56</v>
      </c>
      <c r="H46" s="126" t="s">
        <v>94</v>
      </c>
      <c r="I46" s="123"/>
      <c r="J46" s="46"/>
      <c r="K46" s="46" t="s">
        <v>95</v>
      </c>
      <c r="L46" s="126" t="s">
        <v>96</v>
      </c>
      <c r="M46" s="46"/>
      <c r="N46" s="46"/>
      <c r="O46" s="127" t="s">
        <v>97</v>
      </c>
      <c r="P46" s="125" t="s">
        <v>98</v>
      </c>
      <c r="Q46" s="46"/>
      <c r="R46" s="128" t="s">
        <v>99</v>
      </c>
      <c r="S46" s="129" t="s">
        <v>100</v>
      </c>
      <c r="T46" s="130"/>
      <c r="U46" s="130" t="s">
        <v>101</v>
      </c>
      <c r="V46" s="131" t="s">
        <v>102</v>
      </c>
      <c r="W46" s="130"/>
      <c r="X46" s="130"/>
      <c r="Y46" s="130"/>
      <c r="Z46" s="46" t="s">
        <v>103</v>
      </c>
      <c r="AA46" s="126" t="s">
        <v>25</v>
      </c>
      <c r="AB46" s="130"/>
      <c r="AC46" s="130"/>
      <c r="AD46" s="130"/>
      <c r="AE46" s="130"/>
      <c r="AF46" s="130" t="s">
        <v>59</v>
      </c>
      <c r="AG46" s="130" t="s">
        <v>104</v>
      </c>
      <c r="AH46" s="129"/>
      <c r="AI46" s="129" t="s">
        <v>80</v>
      </c>
      <c r="AJ46" s="129"/>
      <c r="AK46" s="46"/>
      <c r="AL46" s="123"/>
      <c r="AM46" s="46"/>
      <c r="AN46" s="129" t="s">
        <v>105</v>
      </c>
      <c r="AO46" s="129" t="s">
        <v>80</v>
      </c>
      <c r="AP46" s="129"/>
      <c r="AQ46" s="129"/>
      <c r="AR46" s="132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133"/>
      <c r="BF46" s="81"/>
      <c r="BG46" s="81"/>
      <c r="BH46" s="81"/>
      <c r="BI46" s="81"/>
      <c r="BJ46" s="81"/>
      <c r="BK46" s="4"/>
    </row>
    <row r="47" spans="1:73" ht="13">
      <c r="D47" s="134"/>
      <c r="E47" s="134"/>
      <c r="H47" s="2"/>
      <c r="I47" s="2"/>
      <c r="J47" s="2"/>
      <c r="X47" s="135"/>
      <c r="AU47" s="136"/>
      <c r="BF47" s="81"/>
      <c r="BG47" s="81"/>
      <c r="BH47" s="81"/>
      <c r="BI47" s="81"/>
      <c r="BJ47" s="81"/>
      <c r="BK47" s="4"/>
    </row>
    <row r="48" spans="1:73" ht="13">
      <c r="BF48" s="81"/>
      <c r="BG48" s="81"/>
      <c r="BH48" s="81"/>
      <c r="BI48" s="81"/>
      <c r="BJ48" s="81"/>
      <c r="BK48" s="4"/>
    </row>
    <row r="49" spans="1:63" ht="13">
      <c r="A49" s="163"/>
      <c r="BF49" s="81"/>
      <c r="BG49" s="81"/>
      <c r="BH49" s="81"/>
      <c r="BI49" s="81"/>
      <c r="BJ49" s="81"/>
      <c r="BK49" s="4"/>
    </row>
    <row r="50" spans="1:63" ht="13">
      <c r="BF50" s="81"/>
      <c r="BG50" s="81"/>
      <c r="BH50" s="81"/>
      <c r="BI50" s="81"/>
      <c r="BJ50" s="81"/>
      <c r="BK50" s="4"/>
    </row>
    <row r="51" spans="1:63" ht="13">
      <c r="D51" s="164"/>
      <c r="E51" s="164"/>
      <c r="BF51" s="81"/>
      <c r="BG51" s="81"/>
      <c r="BH51" s="81"/>
      <c r="BI51" s="81"/>
      <c r="BJ51" s="81"/>
      <c r="BK51" s="4"/>
    </row>
    <row r="52" spans="1:63" ht="13">
      <c r="D52" s="164"/>
      <c r="E52" s="164"/>
      <c r="BF52" s="81"/>
      <c r="BG52" s="81"/>
      <c r="BH52" s="81"/>
      <c r="BI52" s="81"/>
      <c r="BJ52" s="81"/>
      <c r="BK52" s="4"/>
    </row>
    <row r="53" spans="1:63" ht="13">
      <c r="D53" s="164"/>
      <c r="E53" s="164"/>
      <c r="BF53" s="81"/>
      <c r="BG53" s="81"/>
      <c r="BH53" s="81"/>
      <c r="BI53" s="81"/>
      <c r="BJ53" s="81"/>
      <c r="BK53" s="4"/>
    </row>
    <row r="54" spans="1:63" ht="13">
      <c r="D54" s="164"/>
      <c r="E54" s="164"/>
      <c r="BF54" s="81"/>
      <c r="BG54" s="81"/>
      <c r="BH54" s="81"/>
      <c r="BI54" s="81"/>
      <c r="BJ54" s="81"/>
      <c r="BK54" s="4"/>
    </row>
    <row r="55" spans="1:63" ht="13">
      <c r="D55" s="164"/>
      <c r="E55" s="164"/>
      <c r="BF55" s="81"/>
      <c r="BG55" s="81"/>
      <c r="BH55" s="81"/>
      <c r="BI55" s="81"/>
      <c r="BJ55" s="81"/>
      <c r="BK55" s="4"/>
    </row>
    <row r="56" spans="1:63">
      <c r="D56" s="164"/>
      <c r="E56" s="164"/>
    </row>
    <row r="57" spans="1:63">
      <c r="D57" s="164"/>
      <c r="E57" s="164"/>
    </row>
    <row r="58" spans="1:63">
      <c r="D58" s="164"/>
      <c r="E58" s="164"/>
    </row>
    <row r="59" spans="1:63">
      <c r="D59" s="164"/>
      <c r="E59" s="164"/>
    </row>
    <row r="60" spans="1:63">
      <c r="D60" s="164"/>
      <c r="E60" s="164"/>
    </row>
    <row r="61" spans="1:63" ht="13">
      <c r="D61" s="164"/>
      <c r="E61" s="164"/>
      <c r="BF61" s="4"/>
      <c r="BG61" s="4"/>
      <c r="BH61" s="4"/>
      <c r="BI61" s="4"/>
      <c r="BJ61" s="4"/>
      <c r="BK61" s="4"/>
    </row>
    <row r="62" spans="1:63">
      <c r="D62" s="164"/>
      <c r="E62" s="164"/>
    </row>
    <row r="66" spans="4:5">
      <c r="D66" s="164"/>
      <c r="E66" s="164"/>
    </row>
  </sheetData>
  <mergeCells count="20">
    <mergeCell ref="BA5:BC5"/>
    <mergeCell ref="BF5:BK5"/>
    <mergeCell ref="A5:A6"/>
    <mergeCell ref="B5:B6"/>
    <mergeCell ref="C5:C6"/>
    <mergeCell ref="D5:D6"/>
    <mergeCell ref="E5:E6"/>
    <mergeCell ref="F5:F6"/>
    <mergeCell ref="AM5:AM6"/>
    <mergeCell ref="AN5:AN6"/>
    <mergeCell ref="AO5:AO6"/>
    <mergeCell ref="AP5:AP6"/>
    <mergeCell ref="AQ5:AQ6"/>
    <mergeCell ref="BD5:BD6"/>
    <mergeCell ref="BE5:BE6"/>
    <mergeCell ref="W1:Z1"/>
    <mergeCell ref="G3:H3"/>
    <mergeCell ref="I3:P3"/>
    <mergeCell ref="AR5:AV5"/>
    <mergeCell ref="AW5:AZ5"/>
  </mergeCells>
  <phoneticPr fontId="66" type="noConversion"/>
  <conditionalFormatting sqref="A1:B1 D1 F1:G2 F3 F4:G40 F47:G1048576 A52:C1048576">
    <cfRule type="expression" dxfId="139" priority="1166">
      <formula>$G1="本月离职"</formula>
    </cfRule>
    <cfRule type="expression" dxfId="138" priority="1167">
      <formula>$G1="本月入职"</formula>
    </cfRule>
  </conditionalFormatting>
  <conditionalFormatting sqref="A1:B1 D1 F1:W1 F2:AL2 F3 F4:AL5 F6:G35 F36:AL40 A47:D70 F47:AL1048576 A71:C71 A72:D1048576 A43:B46 AA1:AL1 AO1:BE4 BL1:XFD40 Q3:AL3 AR5:BE5 AU6:BC6 BE6 AR6:AS33 BD7:BE7 AU7:AZ28 BE8:BE27 BD28:BE28 AU29:BE33 AQ34:BE34 AP35:BE35 AO36:BE40 A42:C42 M42:R42 AC42:AI42 AL42 AW42:BD42 BL42:XFD1048576 AO43:AQ43 AT43:BD43 G44:H46 J44:J46 M44:N46 AZ44:BD46 AO47:BE1048576">
    <cfRule type="cellIs" dxfId="137" priority="1168" stopIfTrue="1" operator="equal">
      <formula>$O$46</formula>
    </cfRule>
  </conditionalFormatting>
  <conditionalFormatting sqref="A1:B1 D1 F1:W1 AA1:AL1 AO1:BE4 BL1:XFD40 F2:AL2 F3 Q3:AL3 F4:AL5 AR5:BE5 AU6:BC6 BE6 AR6:AS33 F6:G35 BD7:BE7 AU7:AZ28 BE8:BE27 BD28:BE28 AU29:BE33 AQ34:BE34 AP35:BE35 F36:AL40 AO36:BE40 A42:C42 M42:R42 AC42:AI42 AL42 AW42:BD42 BL42:XFD1048576 AO43:AQ43 AT43:BD43 A43:B46 G44:H46 J44:J46 M44:N46 AZ44:BD46 A47:D70 F47:AL1048576 AO47:BE1048576 A71:C71 A72:D1048576">
    <cfRule type="cellIs" dxfId="136" priority="1170" stopIfTrue="1" operator="equal">
      <formula>$G$45</formula>
    </cfRule>
    <cfRule type="cellIs" dxfId="135" priority="1171" stopIfTrue="1" operator="equal">
      <formula>$G$44</formula>
    </cfRule>
    <cfRule type="cellIs" dxfId="134" priority="1172" operator="equal">
      <formula>"L"</formula>
    </cfRule>
    <cfRule type="cellIs" dxfId="133" priority="1169" stopIfTrue="1" operator="equal">
      <formula>$G$46</formula>
    </cfRule>
  </conditionalFormatting>
  <conditionalFormatting sqref="A44:B46 G44:H46 J44:J46 M44:N46">
    <cfRule type="expression" dxfId="132" priority="1205">
      <formula>$K44="本月离职"</formula>
    </cfRule>
    <cfRule type="expression" dxfId="131" priority="1206">
      <formula>$K44="本月入职"</formula>
    </cfRule>
  </conditionalFormatting>
  <conditionalFormatting sqref="A42:C42">
    <cfRule type="expression" dxfId="130" priority="1202">
      <formula>#REF!="本月入职"</formula>
    </cfRule>
    <cfRule type="expression" dxfId="129" priority="1201">
      <formula>#REF!="本月离职"</formula>
    </cfRule>
  </conditionalFormatting>
  <conditionalFormatting sqref="A2:D6">
    <cfRule type="cellIs" dxfId="128" priority="1139" stopIfTrue="1" operator="equal">
      <formula>$G$45</formula>
    </cfRule>
    <cfRule type="cellIs" dxfId="127" priority="1140" stopIfTrue="1" operator="equal">
      <formula>$G$44</formula>
    </cfRule>
    <cfRule type="cellIs" dxfId="126" priority="1141" operator="equal">
      <formula>"L"</formula>
    </cfRule>
    <cfRule type="expression" dxfId="125" priority="1135">
      <formula>$G2="本月离职"</formula>
    </cfRule>
    <cfRule type="expression" dxfId="124" priority="1136">
      <formula>$G2="本月入职"</formula>
    </cfRule>
    <cfRule type="cellIs" dxfId="123" priority="1137" stopIfTrue="1" operator="equal">
      <formula>$O$46</formula>
    </cfRule>
    <cfRule type="cellIs" dxfId="122" priority="1138" stopIfTrue="1" operator="equal">
      <formula>$G$46</formula>
    </cfRule>
  </conditionalFormatting>
  <conditionalFormatting sqref="A7:E40">
    <cfRule type="cellIs" dxfId="121" priority="1050" stopIfTrue="1" operator="equal">
      <formula>$O$46</formula>
    </cfRule>
    <cfRule type="cellIs" dxfId="120" priority="1054" operator="equal">
      <formula>"L"</formula>
    </cfRule>
    <cfRule type="cellIs" dxfId="119" priority="1053" stopIfTrue="1" operator="equal">
      <formula>$G$44</formula>
    </cfRule>
    <cfRule type="cellIs" dxfId="118" priority="1052" stopIfTrue="1" operator="equal">
      <formula>$G$45</formula>
    </cfRule>
    <cfRule type="cellIs" dxfId="117" priority="1051" stopIfTrue="1" operator="equal">
      <formula>$G$46</formula>
    </cfRule>
    <cfRule type="expression" dxfId="116" priority="1049">
      <formula>$G7="本月入职"</formula>
    </cfRule>
    <cfRule type="expression" dxfId="115" priority="1048">
      <formula>$G7="本月离职"</formula>
    </cfRule>
  </conditionalFormatting>
  <conditionalFormatting sqref="D52:D61 D72:D1048575">
    <cfRule type="expression" dxfId="114" priority="1182">
      <formula>$G53="本月入职"</formula>
    </cfRule>
    <cfRule type="expression" dxfId="113" priority="1181">
      <formula>$G53="本月离职"</formula>
    </cfRule>
  </conditionalFormatting>
  <conditionalFormatting sqref="D60:D67">
    <cfRule type="expression" dxfId="112" priority="1176">
      <formula>$G62="本月入职"</formula>
    </cfRule>
    <cfRule type="expression" dxfId="111" priority="1175">
      <formula>$G62="本月离职"</formula>
    </cfRule>
  </conditionalFormatting>
  <conditionalFormatting sqref="D68:D69">
    <cfRule type="expression" dxfId="110" priority="1177">
      <formula>$G71="本月离职"</formula>
    </cfRule>
    <cfRule type="expression" dxfId="109" priority="1178">
      <formula>$G71="本月入职"</formula>
    </cfRule>
  </conditionalFormatting>
  <conditionalFormatting sqref="D70">
    <cfRule type="expression" dxfId="108" priority="1179">
      <formula>$G52="本月离职"</formula>
    </cfRule>
    <cfRule type="expression" dxfId="107" priority="1180">
      <formula>$G52="本月入职"</formula>
    </cfRule>
  </conditionalFormatting>
  <conditionalFormatting sqref="D58:E59">
    <cfRule type="expression" dxfId="106" priority="1071">
      <formula>$G60="本月离职"</formula>
    </cfRule>
    <cfRule type="expression" dxfId="105" priority="1072">
      <formula>$G60="本月入职"</formula>
    </cfRule>
  </conditionalFormatting>
  <conditionalFormatting sqref="D1048576:E1048576">
    <cfRule type="expression" dxfId="104" priority="1210">
      <formula>#REF!="本月入职"</formula>
    </cfRule>
    <cfRule type="expression" dxfId="103" priority="1209">
      <formula>#REF!="本月离职"</formula>
    </cfRule>
  </conditionalFormatting>
  <conditionalFormatting sqref="E1:E5 A43:G43 A47:E51">
    <cfRule type="expression" dxfId="102" priority="1073">
      <formula>$G1="本月离职"</formula>
    </cfRule>
    <cfRule type="expression" dxfId="101" priority="1074">
      <formula>$G1="本月入职"</formula>
    </cfRule>
  </conditionalFormatting>
  <conditionalFormatting sqref="E1:E5 C43:AL43 E47:E70 E72:E1048576">
    <cfRule type="cellIs" dxfId="100" priority="1075" stopIfTrue="1" operator="equal">
      <formula>$O$46</formula>
    </cfRule>
    <cfRule type="cellIs" dxfId="99" priority="1079" operator="equal">
      <formula>"L"</formula>
    </cfRule>
    <cfRule type="cellIs" dxfId="98" priority="1078" stopIfTrue="1" operator="equal">
      <formula>$G$44</formula>
    </cfRule>
    <cfRule type="cellIs" dxfId="97" priority="1077" stopIfTrue="1" operator="equal">
      <formula>$G$45</formula>
    </cfRule>
    <cfRule type="cellIs" dxfId="96" priority="1076" stopIfTrue="1" operator="equal">
      <formula>$G$46</formula>
    </cfRule>
  </conditionalFormatting>
  <conditionalFormatting sqref="E52:E61 E72:E1048575">
    <cfRule type="expression" dxfId="95" priority="1086">
      <formula>$G53="本月离职"</formula>
    </cfRule>
    <cfRule type="expression" dxfId="94" priority="1087">
      <formula>$G53="本月入职"</formula>
    </cfRule>
  </conditionalFormatting>
  <conditionalFormatting sqref="E60:E67">
    <cfRule type="expression" dxfId="93" priority="1081">
      <formula>$G62="本月入职"</formula>
    </cfRule>
    <cfRule type="expression" dxfId="92" priority="1080">
      <formula>$G62="本月离职"</formula>
    </cfRule>
  </conditionalFormatting>
  <conditionalFormatting sqref="E68:E69">
    <cfRule type="expression" dxfId="91" priority="1082">
      <formula>$G71="本月离职"</formula>
    </cfRule>
    <cfRule type="expression" dxfId="90" priority="1083">
      <formula>$G71="本月入职"</formula>
    </cfRule>
  </conditionalFormatting>
  <conditionalFormatting sqref="E70">
    <cfRule type="expression" dxfId="89" priority="1085">
      <formula>$G52="本月入职"</formula>
    </cfRule>
    <cfRule type="expression" dxfId="88" priority="1084">
      <formula>$G52="本月离职"</formula>
    </cfRule>
  </conditionalFormatting>
  <conditionalFormatting sqref="G3">
    <cfRule type="cellIs" dxfId="87" priority="1107" operator="equal">
      <formula>"L"</formula>
    </cfRule>
    <cfRule type="cellIs" dxfId="86" priority="1106" stopIfTrue="1" operator="equal">
      <formula>$C$15</formula>
    </cfRule>
    <cfRule type="cellIs" dxfId="85" priority="1105" stopIfTrue="1" operator="equal">
      <formula>$C$16</formula>
    </cfRule>
    <cfRule type="cellIs" dxfId="84" priority="1104" stopIfTrue="1" operator="equal">
      <formula>$C$17</formula>
    </cfRule>
    <cfRule type="cellIs" dxfId="83" priority="1103" stopIfTrue="1" operator="equal">
      <formula>$J$17</formula>
    </cfRule>
    <cfRule type="expression" dxfId="82" priority="1102">
      <formula>$H3="本月入职"</formula>
    </cfRule>
    <cfRule type="expression" dxfId="81" priority="1101">
      <formula>$H3="本月离职"</formula>
    </cfRule>
  </conditionalFormatting>
  <conditionalFormatting sqref="H5:AL6">
    <cfRule type="expression" dxfId="80" priority="846">
      <formula>H$6="日"</formula>
    </cfRule>
    <cfRule type="expression" dxfId="79" priority="847">
      <formula>H$6="六"</formula>
    </cfRule>
  </conditionalFormatting>
  <conditionalFormatting sqref="H6:AL6">
    <cfRule type="cellIs" dxfId="78" priority="854" operator="equal">
      <formula>"六"</formula>
    </cfRule>
    <cfRule type="cellIs" dxfId="77" priority="853" operator="equal">
      <formula>"日"</formula>
    </cfRule>
    <cfRule type="cellIs" dxfId="76" priority="852" operator="equal">
      <formula>"L"</formula>
    </cfRule>
    <cfRule type="cellIs" dxfId="75" priority="851" stopIfTrue="1" operator="equal">
      <formula>$G$44</formula>
    </cfRule>
    <cfRule type="cellIs" dxfId="74" priority="850" stopIfTrue="1" operator="equal">
      <formula>$G$45</formula>
    </cfRule>
    <cfRule type="cellIs" dxfId="73" priority="849" stopIfTrue="1" operator="equal">
      <formula>$G$46</formula>
    </cfRule>
    <cfRule type="cellIs" dxfId="72" priority="848" stopIfTrue="1" operator="equal">
      <formula>$S$46</formula>
    </cfRule>
  </conditionalFormatting>
  <conditionalFormatting sqref="H7:AL35">
    <cfRule type="cellIs" dxfId="71" priority="10" operator="equal">
      <formula>$P$44</formula>
    </cfRule>
    <cfRule type="cellIs" dxfId="70" priority="11" operator="equal">
      <formula>$L$44</formula>
    </cfRule>
    <cfRule type="cellIs" dxfId="69" priority="1" operator="equal">
      <formula>$R$46</formula>
    </cfRule>
    <cfRule type="cellIs" dxfId="68" priority="2" operator="equal">
      <formula>$O$46</formula>
    </cfRule>
    <cfRule type="cellIs" dxfId="67" priority="3" operator="equal">
      <formula>$O$44</formula>
    </cfRule>
    <cfRule type="cellIs" dxfId="66" priority="4" operator="equal">
      <formula>$K$44</formula>
    </cfRule>
    <cfRule type="cellIs" dxfId="65" priority="5" operator="equal">
      <formula>$G$46</formula>
    </cfRule>
    <cfRule type="cellIs" dxfId="64" priority="6" operator="equal">
      <formula>$G$45</formula>
    </cfRule>
    <cfRule type="cellIs" dxfId="63" priority="7" operator="equal">
      <formula>$G$44</formula>
    </cfRule>
    <cfRule type="cellIs" dxfId="62" priority="8" operator="equal">
      <formula>$S$46</formula>
    </cfRule>
    <cfRule type="cellIs" dxfId="61" priority="9" operator="equal">
      <formula>$P$46</formula>
    </cfRule>
  </conditionalFormatting>
  <conditionalFormatting sqref="I3:P3">
    <cfRule type="cellIs" dxfId="60" priority="910" stopIfTrue="1" operator="equal">
      <formula>$J$17</formula>
    </cfRule>
    <cfRule type="cellIs" dxfId="59" priority="913" stopIfTrue="1" operator="equal">
      <formula>$C$15</formula>
    </cfRule>
    <cfRule type="cellIs" dxfId="58" priority="914" operator="equal">
      <formula>"L"</formula>
    </cfRule>
    <cfRule type="cellIs" dxfId="57" priority="911" stopIfTrue="1" operator="equal">
      <formula>$C$17</formula>
    </cfRule>
    <cfRule type="cellIs" dxfId="56" priority="912" stopIfTrue="1" operator="equal">
      <formula>$C$16</formula>
    </cfRule>
  </conditionalFormatting>
  <conditionalFormatting sqref="K44:L45">
    <cfRule type="expression" dxfId="55" priority="1040">
      <formula>$J44="本月入职"</formula>
    </cfRule>
    <cfRule type="cellIs" dxfId="54" priority="1038" operator="equal">
      <formula>"L"</formula>
    </cfRule>
    <cfRule type="expression" dxfId="53" priority="1039">
      <formula>$J44="本月离职"</formula>
    </cfRule>
    <cfRule type="cellIs" dxfId="52" priority="1037" stopIfTrue="1" operator="equal">
      <formula>$G$15</formula>
    </cfRule>
    <cfRule type="cellIs" dxfId="51" priority="1036" stopIfTrue="1" operator="equal">
      <formula>$G$16</formula>
    </cfRule>
    <cfRule type="cellIs" dxfId="50" priority="1035" stopIfTrue="1" operator="equal">
      <formula>$G$17</formula>
    </cfRule>
    <cfRule type="cellIs" dxfId="49" priority="1034" stopIfTrue="1" operator="equal">
      <formula>$O$17</formula>
    </cfRule>
  </conditionalFormatting>
  <conditionalFormatting sqref="AO7:AO28">
    <cfRule type="cellIs" dxfId="48" priority="34" stopIfTrue="1" operator="equal">
      <formula>$L$36</formula>
    </cfRule>
    <cfRule type="cellIs" dxfId="47" priority="36" stopIfTrue="1" operator="equal">
      <formula>$G$35</formula>
    </cfRule>
    <cfRule type="cellIs" dxfId="46" priority="37" stopIfTrue="1" operator="equal">
      <formula>$G$34</formula>
    </cfRule>
    <cfRule type="cellIs" dxfId="45" priority="38" operator="equal">
      <formula>"L"</formula>
    </cfRule>
    <cfRule type="cellIs" dxfId="44" priority="35" stopIfTrue="1" operator="equal">
      <formula>$G$36</formula>
    </cfRule>
  </conditionalFormatting>
  <conditionalFormatting sqref="AO29:AO34">
    <cfRule type="cellIs" dxfId="43" priority="799" stopIfTrue="1" operator="equal">
      <formula>$G$44</formula>
    </cfRule>
    <cfRule type="cellIs" dxfId="42" priority="798" stopIfTrue="1" operator="equal">
      <formula>$G$45</formula>
    </cfRule>
    <cfRule type="cellIs" dxfId="41" priority="797" stopIfTrue="1" operator="equal">
      <formula>$G$46</formula>
    </cfRule>
    <cfRule type="cellIs" dxfId="40" priority="796" stopIfTrue="1" operator="equal">
      <formula>$L$46</formula>
    </cfRule>
    <cfRule type="cellIs" dxfId="39" priority="800" operator="equal">
      <formula>"L"</formula>
    </cfRule>
  </conditionalFormatting>
  <conditionalFormatting sqref="AO5:AQ5">
    <cfRule type="cellIs" dxfId="38" priority="860" stopIfTrue="1" operator="equal">
      <formula>$H$30</formula>
    </cfRule>
    <cfRule type="cellIs" dxfId="37" priority="861" stopIfTrue="1" operator="equal">
      <formula>$C$30</formula>
    </cfRule>
    <cfRule type="cellIs" dxfId="36" priority="863" stopIfTrue="1" operator="equal">
      <formula>$C$18</formula>
    </cfRule>
    <cfRule type="cellIs" dxfId="35" priority="864" operator="equal">
      <formula>"L"</formula>
    </cfRule>
    <cfRule type="cellIs" dxfId="34" priority="862" stopIfTrue="1" operator="equal">
      <formula>$C$29</formula>
    </cfRule>
  </conditionalFormatting>
  <conditionalFormatting sqref="AP5:AQ5">
    <cfRule type="cellIs" dxfId="33" priority="866" stopIfTrue="1" operator="equal">
      <formula>$G$46</formula>
    </cfRule>
    <cfRule type="cellIs" dxfId="32" priority="867" stopIfTrue="1" operator="equal">
      <formula>$G$45</formula>
    </cfRule>
    <cfRule type="cellIs" dxfId="31" priority="868" stopIfTrue="1" operator="equal">
      <formula>$G$44</formula>
    </cfRule>
    <cfRule type="cellIs" dxfId="30" priority="865" stopIfTrue="1" operator="equal">
      <formula>$P$46</formula>
    </cfRule>
  </conditionalFormatting>
  <conditionalFormatting sqref="AQ7:AQ33">
    <cfRule type="cellIs" dxfId="29" priority="858" stopIfTrue="1" operator="equal">
      <formula>$G$44</formula>
    </cfRule>
    <cfRule type="cellIs" dxfId="28" priority="859" operator="equal">
      <formula>"L"</formula>
    </cfRule>
    <cfRule type="cellIs" dxfId="27" priority="856" stopIfTrue="1" operator="equal">
      <formula>$G$46</formula>
    </cfRule>
    <cfRule type="cellIs" dxfId="26" priority="855" stopIfTrue="1" operator="equal">
      <formula>$S$46</formula>
    </cfRule>
    <cfRule type="cellIs" dxfId="25" priority="857" stopIfTrue="1" operator="equal">
      <formula>$G$45</formula>
    </cfRule>
  </conditionalFormatting>
  <conditionalFormatting sqref="AT6:AT33">
    <cfRule type="cellIs" dxfId="24" priority="890" stopIfTrue="1" operator="equal">
      <formula>$P$46</formula>
    </cfRule>
    <cfRule type="cellIs" dxfId="23" priority="891" stopIfTrue="1" operator="equal">
      <formula>$G$46</formula>
    </cfRule>
    <cfRule type="cellIs" dxfId="22" priority="892" stopIfTrue="1" operator="equal">
      <formula>$G$45</formula>
    </cfRule>
    <cfRule type="cellIs" dxfId="21" priority="893" stopIfTrue="1" operator="equal">
      <formula>$G$44</formula>
    </cfRule>
    <cfRule type="cellIs" dxfId="20" priority="894" operator="equal">
      <formula>"L"</formula>
    </cfRule>
  </conditionalFormatting>
  <conditionalFormatting sqref="BD8:BD27">
    <cfRule type="cellIs" dxfId="19" priority="522" stopIfTrue="1" operator="equal">
      <formula>$G$41</formula>
    </cfRule>
    <cfRule type="cellIs" dxfId="18" priority="521" stopIfTrue="1" operator="equal">
      <formula>$G$42</formula>
    </cfRule>
    <cfRule type="cellIs" dxfId="17" priority="520" stopIfTrue="1" operator="equal">
      <formula>$P$42</formula>
    </cfRule>
    <cfRule type="cellIs" dxfId="16" priority="524" operator="equal">
      <formula>"L"</formula>
    </cfRule>
    <cfRule type="cellIs" dxfId="15" priority="523" stopIfTrue="1" operator="equal">
      <formula>$G$40</formula>
    </cfRule>
  </conditionalFormatting>
  <conditionalFormatting sqref="BF14:BI14">
    <cfRule type="cellIs" dxfId="13" priority="961" stopIfTrue="1" operator="equal">
      <formula>$D$38</formula>
    </cfRule>
    <cfRule type="cellIs" dxfId="12" priority="963" operator="equal">
      <formula>"L"</formula>
    </cfRule>
  </conditionalFormatting>
  <conditionalFormatting sqref="BF1:BK4 BF5 BF6:BI13 BF15:BI55 BJ41:BJ46 BF58:BK60 BF62:BK1048576">
    <cfRule type="cellIs" dxfId="10" priority="1013" operator="equal">
      <formula>"L"</formula>
    </cfRule>
  </conditionalFormatting>
  <conditionalFormatting sqref="BF1:BK4 BF5 BF58:BK60 BF62:BK1048576 BF6:BI13 BF15:BI55">
    <cfRule type="cellIs" dxfId="9" priority="1011" stopIfTrue="1" operator="equal">
      <formula>#REF!</formula>
    </cfRule>
  </conditionalFormatting>
  <conditionalFormatting sqref="BF1:BK4 BF5 BF58:BK60 BF62:BK1048576">
    <cfRule type="cellIs" dxfId="8" priority="1009" stopIfTrue="1" operator="equal">
      <formula>#REF!</formula>
    </cfRule>
    <cfRule type="cellIs" dxfId="7" priority="1010" stopIfTrue="1" operator="equal">
      <formula>#REF!</formula>
    </cfRule>
  </conditionalFormatting>
  <conditionalFormatting sqref="BF6:BK55">
    <cfRule type="cellIs" dxfId="6" priority="960" stopIfTrue="1" operator="equal">
      <formula>#REF!</formula>
    </cfRule>
    <cfRule type="cellIs" dxfId="5" priority="959" stopIfTrue="1" operator="equal">
      <formula>#REF!</formula>
    </cfRule>
  </conditionalFormatting>
  <conditionalFormatting sqref="BJ6:BK40 BK42:BK46 BJ47:BK55">
    <cfRule type="cellIs" dxfId="3" priority="993" operator="equal">
      <formula>"L"</formula>
    </cfRule>
  </conditionalFormatting>
  <conditionalFormatting sqref="BJ6:BK55">
    <cfRule type="cellIs" dxfId="2" priority="986" stopIfTrue="1" operator="equal">
      <formula>#REF!</formula>
    </cfRule>
  </conditionalFormatting>
  <conditionalFormatting sqref="BK41">
    <cfRule type="cellIs" dxfId="1" priority="987" stopIfTrue="1" operator="equal">
      <formula>#REF!</formula>
    </cfRule>
    <cfRule type="cellIs" dxfId="0" priority="988" operator="equal">
      <formula>"L"</formula>
    </cfRule>
  </conditionalFormatting>
  <dataValidations count="6">
    <dataValidation type="list" allowBlank="1" showInputMessage="1" showErrorMessage="1" sqref="AA1" xr:uid="{00000000-0002-0000-0000-000000000000}">
      <formula1>"1,2,3,4,5,6,7,8,9,10,11,12"</formula1>
    </dataValidation>
    <dataValidation type="list" allowBlank="1" showInputMessage="1" showErrorMessage="1" sqref="I3:P3" xr:uid="{00000000-0002-0000-0000-000001000000}">
      <formula1>"君瑞物业总部,深圳湾1号物业服务中心,金玥湾物业服务中心,海玥湾物业服务中心,珠澳湾物业服务中心,皓玥湾物业服务中心,天玥广场物业服务中心,深圳颐璟府物业服务中心,深圳尚府物业服务中心,深圳半山云璟物业服务中心,云璟湾物业服务中心,三龙湾物业服务中心"</formula1>
    </dataValidation>
    <dataValidation allowBlank="1" showInputMessage="1" showErrorMessage="1" promptTitle="内含公式，如需修改需谨慎。" sqref="H6:AL6" xr:uid="{00000000-0002-0000-0000-000002000000}"/>
    <dataValidation type="list" allowBlank="1" showInputMessage="1" showErrorMessage="1" sqref="D7" xr:uid="{00000000-0002-0000-0000-000003000000}">
      <formula1>"总经办,运营管理部,财务管理部,综合管理部,案场,售后服务部,客服部,工程部,安防部,环境部,颐璟府"</formula1>
    </dataValidation>
    <dataValidation type="list" allowBlank="1" showInputMessage="1" showErrorMessage="1" sqref="E7" xr:uid="{00000000-0002-0000-0000-000004000000}">
      <formula1>"总经办,项目办,运营管理部,财务管理部,综合管理部,售后服务部,租赁中心,营销中心,行政用房,客服-写字楼,客服-商业,客服-公寓,客服-莱佛士,环境部,安防-写字楼,安防-商业,安防-公寓,安防-停车场,安防-消防,安防-莱佛士,工程-写字楼,工程-商业,工程-公寓,工程-莱佛士"</formula1>
    </dataValidation>
    <dataValidation type="list" allowBlank="1" showInputMessage="1" showErrorMessage="1" sqref="G7:G35" xr:uid="{00000000-0002-0000-0000-000005000000}">
      <formula1>"在职,本月入职,本月离职"</formula1>
    </dataValidation>
  </dataValidations>
  <pageMargins left="0" right="0.118055555555556" top="0.39305555555555599" bottom="0.27500000000000002" header="0.27500000000000002" footer="0.51180555555555596"/>
  <pageSetup paperSize="9" scale="56" orientation="landscape" r:id="rId1"/>
  <headerFooter>
    <oddHeader>&amp;L&amp;G</oddHeader>
  </headerFooter>
  <drawing r:id="rId2"/>
  <legacyDrawing r:id="rId3"/>
  <legacyDrawingHF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62" stopIfTrue="1" operator="equal" id="{00000000-000E-0000-0000-0000C2030000}">
            <xm:f>'F:\202012考勤文件\202012安防\[安防部-2020年12月份考勤（核）.xlsx]安防-北区'!#REF!</xm:f>
            <x14:dxf>
              <font>
                <b val="0"/>
                <i val="0"/>
                <color auto="1"/>
              </font>
              <fill>
                <patternFill patternType="solid">
                  <bgColor theme="9" tint="0.59996337778862885"/>
                </patternFill>
              </fill>
            </x14:dxf>
          </x14:cfRule>
          <xm:sqref>BF14:BI14</xm:sqref>
        </x14:conditionalFormatting>
        <x14:conditionalFormatting xmlns:xm="http://schemas.microsoft.com/office/excel/2006/main">
          <x14:cfRule type="cellIs" priority="1012" stopIfTrue="1" operator="equal" id="{00000000-000E-0000-0000-0000F4030000}">
            <xm:f>'F:\202012考勤文件\202012安防\[安防部-2020年12月份考勤（核）.xlsx]安防-北区'!#REF!</xm:f>
            <x14:dxf>
              <font>
                <b val="0"/>
                <i val="0"/>
                <color auto="1"/>
              </font>
              <fill>
                <patternFill patternType="solid">
                  <bgColor theme="9" tint="0.59996337778862885"/>
                </patternFill>
              </fill>
            </x14:dxf>
          </x14:cfRule>
          <xm:sqref>BF1:BK4 BF5 BF6:BI13 BF15:BI55 BF58:BK60 BF62:BK1048576 BJ41:BJ46</xm:sqref>
        </x14:conditionalFormatting>
        <x14:conditionalFormatting xmlns:xm="http://schemas.microsoft.com/office/excel/2006/main">
          <x14:cfRule type="cellIs" priority="992" stopIfTrue="1" operator="equal" id="{00000000-000E-0000-0000-0000E0030000}">
            <xm:f>'F:\202012考勤文件\202012安防\[安防部-2020年12月份考勤（核）.xlsx]安防-北区'!#REF!</xm:f>
            <x14:dxf>
              <font>
                <b val="0"/>
                <i val="0"/>
                <color auto="1"/>
              </font>
              <fill>
                <patternFill patternType="solid">
                  <bgColor theme="9" tint="0.59996337778862885"/>
                </patternFill>
              </fill>
            </x14:dxf>
          </x14:cfRule>
          <xm:sqref>BJ6:BK40 BK42:BK46 BJ47:BK55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君瑞-考勤表（非安防部门）</vt:lpstr>
      <vt:lpstr>'君瑞-考勤表（非安防部门）'!Print_Area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正 龙</cp:lastModifiedBy>
  <cp:lastPrinted>2016-10-19T09:20:00Z</cp:lastPrinted>
  <dcterms:created xsi:type="dcterms:W3CDTF">2015-07-11T09:20:00Z</dcterms:created>
  <dcterms:modified xsi:type="dcterms:W3CDTF">2026-09-01T06:09:48Z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KSOReadingLayout">
    <vt:bool>true</vt:bool>
  </property>
  <property fmtid="{D5CDD505-2E9C-101B-9397-08002B2CF9AE}" pid="4" name="KSORubyTemplateID" linkTarget="0">
    <vt:lpwstr>20</vt:lpwstr>
  </property>
  <property fmtid="{D5CDD505-2E9C-101B-9397-08002B2CF9AE}" pid="5" name="ICV">
    <vt:lpwstr>F80E8578B16C468F9763F95C48D74D68_13</vt:lpwstr>
  </property>
  <property fmtid="{D5CDD505-2E9C-101B-9397-08002B2CF9AE}" pid="6" name="CalculationRule">
    <vt:i4>0</vt:i4>
  </property>
</Properties>
</file>